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pivotTables/pivotTable2.xml" ContentType="application/vnd.openxmlformats-officedocument.spreadsheetml.pivotTable+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d.docs.live.net/3145533771c8bdff/Tài liệu/FTU/Year 1 (24-25)/Semester 2/Applied Numberacy for Business/Student pdf version/AS02_2025/AS02_2025/"/>
    </mc:Choice>
  </mc:AlternateContent>
  <xr:revisionPtr revIDLastSave="475" documentId="14_{90335AC1-A88C-4923-A7C0-F24EF1402E85}" xr6:coauthVersionLast="47" xr6:coauthVersionMax="47" xr10:uidLastSave="{B9A6354D-96EA-4CA4-8D50-6C017DE79DDF}"/>
  <bookViews>
    <workbookView xWindow="-120" yWindow="-120" windowWidth="29040" windowHeight="15720" firstSheet="4" activeTab="7" xr2:uid="{00000000-000D-0000-FFFF-FFFF00000000}"/>
  </bookViews>
  <sheets>
    <sheet name="Raw data" sheetId="1" r:id="rId1"/>
    <sheet name="Task 01. Market share" sheetId="2" r:id="rId2"/>
    <sheet name="Task2.Incumben" sheetId="4" state="hidden" r:id="rId3"/>
    <sheet name="Task 2 Incumbency rate" sheetId="9" r:id="rId4"/>
    <sheet name="Average winning bid prices" sheetId="15" r:id="rId5"/>
    <sheet name="Task3_4 Dispersion&amp;Average Pric" sheetId="5" r:id="rId6"/>
    <sheet name="Task 5. Cost and Price" sheetId="8" r:id="rId7"/>
    <sheet name="Dashboard" sheetId="10" r:id="rId8"/>
  </sheets>
  <externalReferences>
    <externalReference r:id="rId9"/>
  </externalReferences>
  <definedNames>
    <definedName name="_xlnm._FilterDatabase" localSheetId="1" hidden="1">'Task 01. Market share'!$C$1:$C$393</definedName>
    <definedName name="ExternalData_1" localSheetId="5" hidden="1">'Task3_4 Dispersion&amp;Average Pric'!$AK$1:$AN$55</definedName>
    <definedName name="ExternalData_2" localSheetId="5" hidden="1">'Task3_4 Dispersion&amp;Average Pric'!$AU$1:$AX$55</definedName>
    <definedName name="ExternalData_3" localSheetId="4" hidden="1">'Average winning bid prices'!$A$1:$E$55</definedName>
    <definedName name="ExternalData_3" localSheetId="5" hidden="1">'Task3_4 Dispersion&amp;Average Pric'!$BD$1:$BH$55</definedName>
    <definedName name="Slicer_Products">#N/A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26" i="5" l="1"/>
  <c r="BK26" i="5"/>
  <c r="BL58" i="5"/>
  <c r="BK58" i="5"/>
  <c r="AI57" i="5"/>
  <c r="AI58" i="5"/>
  <c r="AI59" i="5"/>
  <c r="AI60" i="5"/>
  <c r="AI61" i="5"/>
  <c r="AI62" i="5"/>
  <c r="AI63" i="5"/>
  <c r="AI64" i="5"/>
  <c r="AI65" i="5"/>
  <c r="AH57" i="5"/>
  <c r="AH58" i="5"/>
  <c r="AH59" i="5"/>
  <c r="AH60" i="5"/>
  <c r="AH61" i="5"/>
  <c r="AH62" i="5"/>
  <c r="AH63" i="5"/>
  <c r="AH64" i="5"/>
  <c r="AH65" i="5"/>
  <c r="AG57" i="5"/>
  <c r="AG58" i="5"/>
  <c r="AG59" i="5"/>
  <c r="AG60" i="5"/>
  <c r="AG61" i="5"/>
  <c r="AG62" i="5"/>
  <c r="AG63" i="5"/>
  <c r="AG64" i="5"/>
  <c r="AG65" i="5"/>
  <c r="AI48" i="5"/>
  <c r="AI49" i="5"/>
  <c r="AI50" i="5"/>
  <c r="AI51" i="5"/>
  <c r="AI52" i="5"/>
  <c r="AI53" i="5"/>
  <c r="AI54" i="5"/>
  <c r="AI55" i="5"/>
  <c r="AI56" i="5"/>
  <c r="AH48" i="5"/>
  <c r="AH49" i="5"/>
  <c r="AH50" i="5"/>
  <c r="AH51" i="5"/>
  <c r="AH52" i="5"/>
  <c r="AH53" i="5"/>
  <c r="AH54" i="5"/>
  <c r="AH55" i="5"/>
  <c r="AH56" i="5"/>
  <c r="J10" i="5" a="1"/>
  <c r="J10" i="5" s="1"/>
  <c r="AG48" i="5"/>
  <c r="AG49" i="5"/>
  <c r="AG50" i="5"/>
  <c r="AG51" i="5"/>
  <c r="AG52" i="5"/>
  <c r="AG53" i="5"/>
  <c r="AG54" i="5"/>
  <c r="AG55" i="5"/>
  <c r="AG56" i="5"/>
  <c r="H393" i="8"/>
  <c r="H392" i="8"/>
  <c r="H391" i="8"/>
  <c r="H390" i="8"/>
  <c r="H389" i="8"/>
  <c r="H388" i="8"/>
  <c r="H387" i="8"/>
  <c r="H386" i="8"/>
  <c r="H385" i="8"/>
  <c r="H384" i="8"/>
  <c r="H383" i="8"/>
  <c r="H382" i="8"/>
  <c r="H381" i="8"/>
  <c r="H380" i="8"/>
  <c r="H379" i="8"/>
  <c r="H378" i="8"/>
  <c r="H377" i="8"/>
  <c r="H376" i="8"/>
  <c r="H375" i="8"/>
  <c r="H374" i="8"/>
  <c r="H373" i="8"/>
  <c r="H372" i="8"/>
  <c r="H371" i="8"/>
  <c r="H370" i="8"/>
  <c r="H369" i="8"/>
  <c r="H368" i="8"/>
  <c r="H367" i="8"/>
  <c r="H366" i="8"/>
  <c r="H365" i="8"/>
  <c r="H364" i="8"/>
  <c r="H363" i="8"/>
  <c r="H362" i="8"/>
  <c r="H361" i="8"/>
  <c r="H360" i="8"/>
  <c r="H359" i="8"/>
  <c r="H358" i="8"/>
  <c r="H357" i="8"/>
  <c r="H356" i="8"/>
  <c r="H355" i="8"/>
  <c r="H354" i="8"/>
  <c r="H353" i="8"/>
  <c r="H352"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M3" i="8"/>
  <c r="H3" i="8"/>
  <c r="M2" i="8"/>
  <c r="H2" i="8"/>
  <c r="G393" i="5"/>
  <c r="G392" i="5"/>
  <c r="G391" i="5"/>
  <c r="G390" i="5"/>
  <c r="G389" i="5"/>
  <c r="G388" i="5"/>
  <c r="G387" i="5"/>
  <c r="G386" i="5"/>
  <c r="G385" i="5"/>
  <c r="G384" i="5"/>
  <c r="G383" i="5"/>
  <c r="G382" i="5"/>
  <c r="G381" i="5"/>
  <c r="G380" i="5"/>
  <c r="G379" i="5"/>
  <c r="G378" i="5"/>
  <c r="G377" i="5"/>
  <c r="G376" i="5"/>
  <c r="G375" i="5"/>
  <c r="G374" i="5"/>
  <c r="G373" i="5"/>
  <c r="G372" i="5"/>
  <c r="G371" i="5"/>
  <c r="G370" i="5"/>
  <c r="G369" i="5"/>
  <c r="G368" i="5"/>
  <c r="G367" i="5"/>
  <c r="G366" i="5"/>
  <c r="G365" i="5"/>
  <c r="G364" i="5"/>
  <c r="G363" i="5"/>
  <c r="G362" i="5"/>
  <c r="G361" i="5"/>
  <c r="G360" i="5"/>
  <c r="G359" i="5"/>
  <c r="G358" i="5"/>
  <c r="G357" i="5"/>
  <c r="G356" i="5"/>
  <c r="G355" i="5"/>
  <c r="G354" i="5"/>
  <c r="G353" i="5"/>
  <c r="G352" i="5"/>
  <c r="G351" i="5"/>
  <c r="G350" i="5"/>
  <c r="G349" i="5"/>
  <c r="G348" i="5"/>
  <c r="G347" i="5"/>
  <c r="G346" i="5"/>
  <c r="G345" i="5"/>
  <c r="G344" i="5"/>
  <c r="G343" i="5"/>
  <c r="G342" i="5"/>
  <c r="G341" i="5"/>
  <c r="G340" i="5"/>
  <c r="G339" i="5"/>
  <c r="G338" i="5"/>
  <c r="G337" i="5"/>
  <c r="G336" i="5"/>
  <c r="G335" i="5"/>
  <c r="G334" i="5"/>
  <c r="G333" i="5"/>
  <c r="G332" i="5"/>
  <c r="G331" i="5"/>
  <c r="G330" i="5"/>
  <c r="G329" i="5"/>
  <c r="G328" i="5"/>
  <c r="G327" i="5"/>
  <c r="G326" i="5"/>
  <c r="G325" i="5"/>
  <c r="G324" i="5"/>
  <c r="G323" i="5"/>
  <c r="G322" i="5"/>
  <c r="G321" i="5"/>
  <c r="G320" i="5"/>
  <c r="G319" i="5"/>
  <c r="G318" i="5"/>
  <c r="G317" i="5"/>
  <c r="G316" i="5"/>
  <c r="G315" i="5"/>
  <c r="G314" i="5"/>
  <c r="G313" i="5"/>
  <c r="G312" i="5"/>
  <c r="G311" i="5"/>
  <c r="G310" i="5"/>
  <c r="G309" i="5"/>
  <c r="G308" i="5"/>
  <c r="G307" i="5"/>
  <c r="G306" i="5"/>
  <c r="G305" i="5"/>
  <c r="G304" i="5"/>
  <c r="G303" i="5"/>
  <c r="G302" i="5"/>
  <c r="G301" i="5"/>
  <c r="G300" i="5"/>
  <c r="G299" i="5"/>
  <c r="G298" i="5"/>
  <c r="G297" i="5"/>
  <c r="G296" i="5"/>
  <c r="G295" i="5"/>
  <c r="G294" i="5"/>
  <c r="G293" i="5"/>
  <c r="G292" i="5"/>
  <c r="G291" i="5"/>
  <c r="G290" i="5"/>
  <c r="G289" i="5"/>
  <c r="G288" i="5"/>
  <c r="G287" i="5"/>
  <c r="G286" i="5"/>
  <c r="G285" i="5"/>
  <c r="G284" i="5"/>
  <c r="G283" i="5"/>
  <c r="G282" i="5"/>
  <c r="G281" i="5"/>
  <c r="G280" i="5"/>
  <c r="G279" i="5"/>
  <c r="G278" i="5"/>
  <c r="G277" i="5"/>
  <c r="G276" i="5"/>
  <c r="G275" i="5"/>
  <c r="G274" i="5"/>
  <c r="G273" i="5"/>
  <c r="G272" i="5"/>
  <c r="G271" i="5"/>
  <c r="G270" i="5"/>
  <c r="G269" i="5"/>
  <c r="G268" i="5"/>
  <c r="G267" i="5"/>
  <c r="G266" i="5"/>
  <c r="G265" i="5"/>
  <c r="G264" i="5"/>
  <c r="G263" i="5"/>
  <c r="G262" i="5"/>
  <c r="G261" i="5"/>
  <c r="G260" i="5"/>
  <c r="G259" i="5"/>
  <c r="G258" i="5"/>
  <c r="G257" i="5"/>
  <c r="G256" i="5"/>
  <c r="G255" i="5"/>
  <c r="G254" i="5"/>
  <c r="G253" i="5"/>
  <c r="G252" i="5"/>
  <c r="G251" i="5"/>
  <c r="G250" i="5"/>
  <c r="G249" i="5"/>
  <c r="G248" i="5"/>
  <c r="G247" i="5"/>
  <c r="G246" i="5"/>
  <c r="G245" i="5"/>
  <c r="G244" i="5"/>
  <c r="G243" i="5"/>
  <c r="G242" i="5"/>
  <c r="G241" i="5"/>
  <c r="G240" i="5"/>
  <c r="G239" i="5"/>
  <c r="G238" i="5"/>
  <c r="G237" i="5"/>
  <c r="G236" i="5"/>
  <c r="G235" i="5"/>
  <c r="G234" i="5"/>
  <c r="G233" i="5"/>
  <c r="G232" i="5"/>
  <c r="G231" i="5"/>
  <c r="G230" i="5"/>
  <c r="G229" i="5"/>
  <c r="G228" i="5"/>
  <c r="G227" i="5"/>
  <c r="G226" i="5"/>
  <c r="G225" i="5"/>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G167" i="5"/>
  <c r="G166" i="5"/>
  <c r="G165" i="5"/>
  <c r="G164" i="5"/>
  <c r="G163" i="5"/>
  <c r="G162" i="5"/>
  <c r="G161" i="5"/>
  <c r="G160" i="5"/>
  <c r="G159" i="5"/>
  <c r="G158" i="5"/>
  <c r="G157" i="5"/>
  <c r="G156" i="5"/>
  <c r="G155" i="5"/>
  <c r="G154" i="5"/>
  <c r="G153" i="5"/>
  <c r="G152" i="5"/>
  <c r="G151" i="5"/>
  <c r="G150" i="5"/>
  <c r="G149" i="5"/>
  <c r="G148" i="5"/>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AI41" i="5"/>
  <c r="AH41" i="5"/>
  <c r="AG41" i="5"/>
  <c r="G46" i="5"/>
  <c r="AI39" i="5"/>
  <c r="AH39" i="5"/>
  <c r="AG39" i="5"/>
  <c r="G45" i="5"/>
  <c r="AI37" i="5"/>
  <c r="AH37" i="5"/>
  <c r="AG37" i="5"/>
  <c r="G44" i="5"/>
  <c r="AI35" i="5"/>
  <c r="AH35" i="5"/>
  <c r="AG35" i="5"/>
  <c r="G43" i="5"/>
  <c r="AI33" i="5"/>
  <c r="AH33" i="5"/>
  <c r="AG33" i="5"/>
  <c r="G42" i="5"/>
  <c r="AI31" i="5"/>
  <c r="AH31" i="5"/>
  <c r="AG31" i="5"/>
  <c r="G41" i="5"/>
  <c r="AI29" i="5"/>
  <c r="AH29" i="5"/>
  <c r="AG29" i="5"/>
  <c r="G40" i="5"/>
  <c r="AI27" i="5"/>
  <c r="AH27" i="5"/>
  <c r="AG27" i="5"/>
  <c r="G39" i="5"/>
  <c r="AI25" i="5"/>
  <c r="AH25" i="5"/>
  <c r="AG25" i="5"/>
  <c r="R38" i="5" a="1"/>
  <c r="R38" i="5"/>
  <c r="Q38" i="5" a="1"/>
  <c r="Q38" i="5"/>
  <c r="P38" i="5" a="1"/>
  <c r="P38" i="5"/>
  <c r="O38" i="5" a="1"/>
  <c r="O38" i="5"/>
  <c r="N38" i="5" a="1"/>
  <c r="N38" i="5"/>
  <c r="M38" i="5" a="1"/>
  <c r="M38" i="5"/>
  <c r="L38" i="5" a="1"/>
  <c r="L38" i="5"/>
  <c r="K38" i="5" a="1"/>
  <c r="K38" i="5"/>
  <c r="J38" i="5" a="1"/>
  <c r="J38" i="5"/>
  <c r="G38" i="5"/>
  <c r="R37" i="5" a="1"/>
  <c r="R37" i="5"/>
  <c r="Q37" i="5" a="1"/>
  <c r="Q37" i="5"/>
  <c r="P37" i="5" a="1"/>
  <c r="P37" i="5"/>
  <c r="O37" i="5" a="1"/>
  <c r="O37" i="5"/>
  <c r="N37" i="5" a="1"/>
  <c r="N37" i="5"/>
  <c r="M37" i="5" a="1"/>
  <c r="M37" i="5"/>
  <c r="L37" i="5" a="1"/>
  <c r="L37" i="5"/>
  <c r="K37" i="5" a="1"/>
  <c r="K37" i="5"/>
  <c r="J37" i="5" a="1"/>
  <c r="J37" i="5"/>
  <c r="G37" i="5"/>
  <c r="G36" i="5"/>
  <c r="G35" i="5"/>
  <c r="G34" i="5"/>
  <c r="G33" i="5"/>
  <c r="AI40" i="5"/>
  <c r="AH40" i="5"/>
  <c r="AG40" i="5"/>
  <c r="R32" i="5" a="1"/>
  <c r="R32" i="5"/>
  <c r="Q32" i="5" a="1"/>
  <c r="Q32" i="5"/>
  <c r="P32" i="5" a="1"/>
  <c r="P32" i="5"/>
  <c r="O32" i="5" a="1"/>
  <c r="O32" i="5"/>
  <c r="N32" i="5" a="1"/>
  <c r="N32" i="5"/>
  <c r="M32" i="5" a="1"/>
  <c r="M32" i="5"/>
  <c r="L32" i="5" a="1"/>
  <c r="L32" i="5"/>
  <c r="K32" i="5" a="1"/>
  <c r="K32" i="5"/>
  <c r="J32" i="5" a="1"/>
  <c r="J32" i="5"/>
  <c r="G32" i="5"/>
  <c r="AI38" i="5"/>
  <c r="AH38" i="5"/>
  <c r="AG38" i="5"/>
  <c r="R31" i="5" a="1"/>
  <c r="R31" i="5"/>
  <c r="Q31" i="5" a="1"/>
  <c r="Q31" i="5"/>
  <c r="P31" i="5" a="1"/>
  <c r="P31" i="5"/>
  <c r="O31" i="5" a="1"/>
  <c r="O31" i="5"/>
  <c r="N31" i="5" a="1"/>
  <c r="N31" i="5"/>
  <c r="M31" i="5" a="1"/>
  <c r="M31" i="5"/>
  <c r="L31" i="5" a="1"/>
  <c r="L31" i="5"/>
  <c r="K31" i="5" a="1"/>
  <c r="K31" i="5"/>
  <c r="J31" i="5" a="1"/>
  <c r="J31" i="5"/>
  <c r="G31" i="5"/>
  <c r="AI36" i="5"/>
  <c r="AH36" i="5"/>
  <c r="AG36" i="5"/>
  <c r="G30" i="5"/>
  <c r="AI34" i="5"/>
  <c r="AH34" i="5"/>
  <c r="AG34" i="5"/>
  <c r="G29" i="5"/>
  <c r="AI32" i="5"/>
  <c r="AH32" i="5"/>
  <c r="AG32" i="5"/>
  <c r="G28" i="5"/>
  <c r="AI30" i="5"/>
  <c r="AH30" i="5"/>
  <c r="AG30" i="5"/>
  <c r="G27" i="5"/>
  <c r="AI28" i="5"/>
  <c r="AH28" i="5"/>
  <c r="AG28" i="5"/>
  <c r="R26" i="5" a="1"/>
  <c r="R26" i="5"/>
  <c r="Q26" i="5" a="1"/>
  <c r="Q26" i="5"/>
  <c r="P26" i="5" a="1"/>
  <c r="P26" i="5"/>
  <c r="O26" i="5" a="1"/>
  <c r="O26" i="5"/>
  <c r="N26" i="5" a="1"/>
  <c r="N26" i="5"/>
  <c r="M26" i="5" a="1"/>
  <c r="M26" i="5"/>
  <c r="L26" i="5" a="1"/>
  <c r="L26" i="5"/>
  <c r="K26" i="5" a="1"/>
  <c r="K26" i="5"/>
  <c r="J26" i="5" a="1"/>
  <c r="J26" i="5"/>
  <c r="G26" i="5"/>
  <c r="AI26" i="5"/>
  <c r="AH26" i="5"/>
  <c r="AG26" i="5"/>
  <c r="R25" i="5" a="1"/>
  <c r="R25" i="5"/>
  <c r="Q25" i="5" a="1"/>
  <c r="Q25" i="5"/>
  <c r="P25" i="5" a="1"/>
  <c r="P25" i="5"/>
  <c r="O25" i="5" a="1"/>
  <c r="O25" i="5"/>
  <c r="N25" i="5" a="1"/>
  <c r="N25" i="5"/>
  <c r="M25" i="5" a="1"/>
  <c r="M25" i="5"/>
  <c r="L25" i="5" a="1"/>
  <c r="L25" i="5"/>
  <c r="K25" i="5" a="1"/>
  <c r="K25" i="5"/>
  <c r="J25" i="5" a="1"/>
  <c r="J25" i="5"/>
  <c r="G25" i="5"/>
  <c r="AI24" i="5"/>
  <c r="AH24" i="5"/>
  <c r="AG24" i="5"/>
  <c r="G24" i="5"/>
  <c r="G23" i="5"/>
  <c r="G22" i="5"/>
  <c r="G21" i="5"/>
  <c r="G20" i="5"/>
  <c r="G19" i="5"/>
  <c r="G18" i="5"/>
  <c r="R17" i="5" a="1"/>
  <c r="R17" i="5"/>
  <c r="Q17" i="5" a="1"/>
  <c r="Q17" i="5"/>
  <c r="P17" i="5" a="1"/>
  <c r="P17" i="5"/>
  <c r="O17" i="5" a="1"/>
  <c r="O17" i="5"/>
  <c r="N17" i="5" a="1"/>
  <c r="N17" i="5"/>
  <c r="M17" i="5" a="1"/>
  <c r="M17" i="5"/>
  <c r="L17" i="5" a="1"/>
  <c r="L17" i="5"/>
  <c r="K17" i="5" a="1"/>
  <c r="K17" i="5"/>
  <c r="J17" i="5" a="1"/>
  <c r="J17" i="5"/>
  <c r="G17" i="5"/>
  <c r="R16" i="5" a="1"/>
  <c r="R16" i="5"/>
  <c r="Q16" i="5" a="1"/>
  <c r="Q16" i="5"/>
  <c r="P16" i="5" a="1"/>
  <c r="P16" i="5"/>
  <c r="O16" i="5" a="1"/>
  <c r="O16" i="5"/>
  <c r="N16" i="5" a="1"/>
  <c r="N16" i="5"/>
  <c r="M16" i="5" a="1"/>
  <c r="M16" i="5"/>
  <c r="L16" i="5" a="1"/>
  <c r="L16" i="5"/>
  <c r="K16" i="5" a="1"/>
  <c r="K16" i="5"/>
  <c r="J16" i="5" a="1"/>
  <c r="J16" i="5"/>
  <c r="G16" i="5"/>
  <c r="G15" i="5"/>
  <c r="G14" i="5"/>
  <c r="G13" i="5"/>
  <c r="G12" i="5"/>
  <c r="R11" i="5" a="1"/>
  <c r="R11" i="5"/>
  <c r="Q11" i="5" a="1"/>
  <c r="Q11" i="5"/>
  <c r="P11" i="5" a="1"/>
  <c r="P11" i="5"/>
  <c r="O11" i="5" a="1"/>
  <c r="O11" i="5"/>
  <c r="N11" i="5" a="1"/>
  <c r="N11" i="5"/>
  <c r="M11" i="5" a="1"/>
  <c r="M11" i="5"/>
  <c r="L11" i="5" a="1"/>
  <c r="L11" i="5"/>
  <c r="K11" i="5" a="1"/>
  <c r="K11" i="5"/>
  <c r="J11" i="5" a="1"/>
  <c r="J11" i="5"/>
  <c r="G11" i="5"/>
  <c r="R10" i="5" a="1"/>
  <c r="R10" i="5"/>
  <c r="Q10" i="5" a="1"/>
  <c r="Q10" i="5"/>
  <c r="P10" i="5" a="1"/>
  <c r="P10" i="5"/>
  <c r="O10" i="5" a="1"/>
  <c r="O10" i="5"/>
  <c r="N10" i="5" a="1"/>
  <c r="N10" i="5"/>
  <c r="M10" i="5" a="1"/>
  <c r="M10" i="5"/>
  <c r="L10" i="5" a="1"/>
  <c r="L10" i="5"/>
  <c r="K10" i="5" a="1"/>
  <c r="K10" i="5"/>
  <c r="G10" i="5"/>
  <c r="G9" i="5"/>
  <c r="G8" i="5"/>
  <c r="G7" i="5"/>
  <c r="G6" i="5"/>
  <c r="R5" i="5" a="1"/>
  <c r="R5" i="5" s="1"/>
  <c r="Q5" i="5" a="1"/>
  <c r="Q5" i="5" s="1"/>
  <c r="P5" i="5" a="1"/>
  <c r="P5" i="5" s="1"/>
  <c r="O5" i="5" a="1"/>
  <c r="O5" i="5" s="1"/>
  <c r="N5" i="5" a="1"/>
  <c r="N5" i="5" s="1"/>
  <c r="M5" i="5" a="1"/>
  <c r="M5" i="5" s="1"/>
  <c r="L5" i="5" a="1"/>
  <c r="L5" i="5" s="1"/>
  <c r="K5" i="5" a="1"/>
  <c r="K5" i="5" s="1"/>
  <c r="J5" i="5" a="1"/>
  <c r="J5" i="5" s="1"/>
  <c r="G5" i="5"/>
  <c r="R4" i="5" a="1"/>
  <c r="R4" i="5" s="1"/>
  <c r="Q4" i="5" a="1"/>
  <c r="Q4" i="5" s="1"/>
  <c r="P4" i="5" a="1"/>
  <c r="P4" i="5" s="1"/>
  <c r="O4" i="5" a="1"/>
  <c r="O4" i="5" s="1"/>
  <c r="N4" i="5" a="1"/>
  <c r="N4" i="5" s="1"/>
  <c r="M4" i="5" a="1"/>
  <c r="M4" i="5" s="1"/>
  <c r="L4" i="5" a="1"/>
  <c r="L4" i="5" s="1"/>
  <c r="K4" i="5" a="1"/>
  <c r="K4" i="5" s="1"/>
  <c r="J4" i="5" a="1"/>
  <c r="J4" i="5" s="1"/>
  <c r="G4" i="5"/>
  <c r="G3" i="5"/>
  <c r="G2" i="5"/>
  <c r="E393" i="9"/>
  <c r="E392" i="9"/>
  <c r="E391" i="9"/>
  <c r="E390" i="9"/>
  <c r="E389" i="9"/>
  <c r="E388" i="9"/>
  <c r="E387" i="9"/>
  <c r="E386" i="9"/>
  <c r="E385" i="9"/>
  <c r="E384" i="9"/>
  <c r="E383" i="9"/>
  <c r="E382" i="9"/>
  <c r="E381" i="9"/>
  <c r="E380" i="9"/>
  <c r="E379" i="9"/>
  <c r="E378" i="9"/>
  <c r="E377" i="9"/>
  <c r="E376" i="9"/>
  <c r="E375" i="9"/>
  <c r="E374" i="9"/>
  <c r="E373" i="9"/>
  <c r="E372" i="9"/>
  <c r="E371" i="9"/>
  <c r="E370" i="9"/>
  <c r="E369" i="9"/>
  <c r="E368" i="9"/>
  <c r="E367" i="9"/>
  <c r="E366" i="9"/>
  <c r="E365" i="9"/>
  <c r="E364" i="9"/>
  <c r="E363" i="9"/>
  <c r="E362" i="9"/>
  <c r="E361" i="9"/>
  <c r="E360" i="9"/>
  <c r="E359" i="9"/>
  <c r="E358" i="9"/>
  <c r="E357" i="9"/>
  <c r="E356" i="9"/>
  <c r="E355" i="9"/>
  <c r="E354" i="9"/>
  <c r="E353" i="9"/>
  <c r="E352" i="9"/>
  <c r="E351" i="9"/>
  <c r="E350" i="9"/>
  <c r="E349" i="9"/>
  <c r="E348" i="9"/>
  <c r="E347" i="9"/>
  <c r="E346" i="9"/>
  <c r="E345" i="9"/>
  <c r="E344" i="9"/>
  <c r="E343" i="9"/>
  <c r="E342"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E310" i="9"/>
  <c r="E309" i="9"/>
  <c r="E308" i="9"/>
  <c r="E307" i="9"/>
  <c r="E306" i="9"/>
  <c r="E305" i="9"/>
  <c r="E304" i="9"/>
  <c r="E303" i="9"/>
  <c r="E302" i="9"/>
  <c r="E301" i="9"/>
  <c r="E300" i="9"/>
  <c r="E299" i="9"/>
  <c r="E298" i="9"/>
  <c r="E297" i="9"/>
  <c r="E296" i="9"/>
  <c r="E295" i="9"/>
  <c r="E294" i="9"/>
  <c r="E293" i="9"/>
  <c r="E292" i="9"/>
  <c r="E291" i="9"/>
  <c r="E290" i="9"/>
  <c r="E289" i="9"/>
  <c r="E288" i="9"/>
  <c r="E287" i="9"/>
  <c r="E286" i="9"/>
  <c r="E285" i="9"/>
  <c r="E284" i="9"/>
  <c r="E283" i="9"/>
  <c r="E282" i="9"/>
  <c r="E281" i="9"/>
  <c r="E280"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E166" i="9"/>
  <c r="E165" i="9"/>
  <c r="E164" i="9"/>
  <c r="E163" i="9"/>
  <c r="E162" i="9"/>
  <c r="E161" i="9"/>
  <c r="E160" i="9"/>
  <c r="E159" i="9"/>
  <c r="E158" i="9"/>
  <c r="E157" i="9"/>
  <c r="E156" i="9"/>
  <c r="E155" i="9"/>
  <c r="E154" i="9"/>
  <c r="E153" i="9"/>
  <c r="E152" i="9"/>
  <c r="E151" i="9"/>
  <c r="E150" i="9"/>
  <c r="E149" i="9"/>
  <c r="E148" i="9"/>
  <c r="E147" i="9"/>
  <c r="E146" i="9"/>
  <c r="E145" i="9"/>
  <c r="E144" i="9"/>
  <c r="E143" i="9"/>
  <c r="E142" i="9"/>
  <c r="E141" i="9"/>
  <c r="E140" i="9"/>
  <c r="E139" i="9"/>
  <c r="E138"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E38" i="9"/>
  <c r="E37" i="9"/>
  <c r="E36" i="9"/>
  <c r="E35" i="9"/>
  <c r="E34" i="9"/>
  <c r="E33" i="9"/>
  <c r="E32" i="9"/>
  <c r="E31" i="9"/>
  <c r="E30" i="9"/>
  <c r="E29" i="9"/>
  <c r="E28" i="9"/>
  <c r="E27" i="9"/>
  <c r="E26" i="9"/>
  <c r="E25" i="9"/>
  <c r="E24" i="9"/>
  <c r="E23" i="9"/>
  <c r="E22" i="9"/>
  <c r="E21" i="9"/>
  <c r="E20" i="9"/>
  <c r="E19" i="9"/>
  <c r="E18" i="9"/>
  <c r="E17" i="9"/>
  <c r="T16" i="9"/>
  <c r="E16" i="9"/>
  <c r="T15" i="9"/>
  <c r="E15" i="9"/>
  <c r="E14" i="9"/>
  <c r="E13" i="9"/>
  <c r="E12" i="9"/>
  <c r="R11" i="9"/>
  <c r="Q11" i="9"/>
  <c r="P11" i="9"/>
  <c r="O11" i="9"/>
  <c r="N11" i="9"/>
  <c r="M11" i="9"/>
  <c r="L11" i="9"/>
  <c r="K11" i="9"/>
  <c r="J11" i="9"/>
  <c r="E11" i="9"/>
  <c r="R10" i="9"/>
  <c r="Q10" i="9"/>
  <c r="P10" i="9"/>
  <c r="O10" i="9"/>
  <c r="N10" i="9"/>
  <c r="M10" i="9"/>
  <c r="L10" i="9"/>
  <c r="K10" i="9"/>
  <c r="J10" i="9"/>
  <c r="E10" i="9"/>
  <c r="R9" i="9"/>
  <c r="Q9" i="9"/>
  <c r="P9" i="9"/>
  <c r="O9" i="9"/>
  <c r="N9" i="9"/>
  <c r="M9" i="9"/>
  <c r="L9" i="9"/>
  <c r="K9" i="9"/>
  <c r="J9" i="9"/>
  <c r="E9" i="9"/>
  <c r="E8" i="9"/>
  <c r="R7" i="9"/>
  <c r="Q7" i="9"/>
  <c r="P7" i="9"/>
  <c r="O7" i="9"/>
  <c r="N7" i="9"/>
  <c r="M7" i="9"/>
  <c r="L7" i="9"/>
  <c r="K7" i="9"/>
  <c r="J7" i="9"/>
  <c r="E7" i="9"/>
  <c r="R6" i="9"/>
  <c r="Q6" i="9"/>
  <c r="P6" i="9"/>
  <c r="O6" i="9"/>
  <c r="N6" i="9"/>
  <c r="M6" i="9"/>
  <c r="L6" i="9"/>
  <c r="K6" i="9"/>
  <c r="J6" i="9"/>
  <c r="E6" i="9"/>
  <c r="R5" i="9"/>
  <c r="Q5" i="9"/>
  <c r="P5" i="9"/>
  <c r="O5" i="9"/>
  <c r="N5" i="9"/>
  <c r="M5" i="9"/>
  <c r="L5" i="9"/>
  <c r="K5" i="9"/>
  <c r="J5" i="9"/>
  <c r="E5" i="9"/>
  <c r="E4" i="9"/>
  <c r="E3" i="9"/>
  <c r="E2" i="9"/>
  <c r="E393" i="4"/>
  <c r="E392" i="4"/>
  <c r="E391" i="4"/>
  <c r="E390" i="4"/>
  <c r="E389" i="4"/>
  <c r="E388" i="4"/>
  <c r="E387" i="4"/>
  <c r="E386" i="4"/>
  <c r="E385" i="4"/>
  <c r="E384" i="4"/>
  <c r="E383" i="4"/>
  <c r="E382" i="4"/>
  <c r="E381" i="4"/>
  <c r="E380" i="4"/>
  <c r="E379" i="4"/>
  <c r="E378" i="4"/>
  <c r="E377" i="4"/>
  <c r="E376" i="4"/>
  <c r="E375" i="4"/>
  <c r="E374" i="4"/>
  <c r="E373" i="4"/>
  <c r="E372" i="4"/>
  <c r="E371" i="4"/>
  <c r="E370" i="4"/>
  <c r="E369" i="4"/>
  <c r="E368" i="4"/>
  <c r="E367" i="4"/>
  <c r="E366" i="4"/>
  <c r="E365" i="4"/>
  <c r="E364" i="4"/>
  <c r="E363" i="4"/>
  <c r="E362" i="4"/>
  <c r="E361" i="4"/>
  <c r="E360" i="4"/>
  <c r="E359" i="4"/>
  <c r="E358" i="4"/>
  <c r="E357" i="4"/>
  <c r="E356" i="4"/>
  <c r="E355" i="4"/>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M13" i="2"/>
  <c r="G13" i="2"/>
  <c r="G12" i="2"/>
  <c r="G11" i="2"/>
  <c r="S10" i="2"/>
  <c r="R10" i="2"/>
  <c r="Q10" i="2"/>
  <c r="P10" i="2"/>
  <c r="O10" i="2"/>
  <c r="N10" i="2"/>
  <c r="M10" i="2"/>
  <c r="L10" i="2"/>
  <c r="K10" i="2"/>
  <c r="G10" i="2"/>
  <c r="S9" i="2"/>
  <c r="R9" i="2"/>
  <c r="Q9" i="2"/>
  <c r="P9" i="2"/>
  <c r="O9" i="2"/>
  <c r="N9" i="2"/>
  <c r="M9" i="2"/>
  <c r="L9" i="2"/>
  <c r="K9" i="2"/>
  <c r="G9" i="2"/>
  <c r="G8" i="2"/>
  <c r="G7" i="2"/>
  <c r="G6" i="2"/>
  <c r="U5" i="2"/>
  <c r="S5" i="2"/>
  <c r="R5" i="2"/>
  <c r="Q5" i="2"/>
  <c r="P5" i="2"/>
  <c r="O5" i="2"/>
  <c r="N5" i="2"/>
  <c r="M5" i="2"/>
  <c r="L5" i="2"/>
  <c r="K5" i="2"/>
  <c r="G5" i="2"/>
  <c r="U4" i="2"/>
  <c r="S4" i="2"/>
  <c r="R4" i="2"/>
  <c r="Q4" i="2"/>
  <c r="P4" i="2"/>
  <c r="O4" i="2"/>
  <c r="N4" i="2"/>
  <c r="M4" i="2"/>
  <c r="L4" i="2"/>
  <c r="K4" i="2"/>
  <c r="G4" i="2"/>
  <c r="U3" i="2"/>
  <c r="S3" i="2"/>
  <c r="R3" i="2"/>
  <c r="Q3" i="2"/>
  <c r="P3" i="2"/>
  <c r="O3" i="2"/>
  <c r="N3" i="2"/>
  <c r="M3" i="2"/>
  <c r="L3" i="2"/>
  <c r="K3" i="2"/>
  <c r="G3" i="2"/>
  <c r="G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K3" authorId="0" shapeId="0" xr:uid="{00000000-0006-0000-0100-000001000000}">
      <text>
        <r>
          <rPr>
            <b/>
            <sz val="9"/>
            <rFont val="Tahoma"/>
            <charset val="134"/>
          </rPr>
          <t>ADMIN:</t>
        </r>
        <r>
          <rPr>
            <sz val="9"/>
            <rFont val="Tahoma"/>
            <charset val="134"/>
          </rPr>
          <t xml:space="preserve">
Use SUMIFS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1" authorId="0" shapeId="0" xr:uid="{00000000-0006-0000-0200-000001000000}">
      <text>
        <r>
          <rPr>
            <b/>
            <sz val="9"/>
            <rFont val="Tahoma"/>
            <charset val="134"/>
          </rPr>
          <t>ADMIN:</t>
        </r>
        <r>
          <rPr>
            <sz val="9"/>
            <rFont val="Tahoma"/>
            <charset val="134"/>
          </rPr>
          <t xml:space="preserve">
Sort by distric, year, and winner</t>
        </r>
      </text>
    </comment>
    <comment ref="E1" authorId="0" shapeId="0" xr:uid="{00000000-0006-0000-0200-000002000000}">
      <text>
        <r>
          <rPr>
            <b/>
            <sz val="9"/>
            <rFont val="Tahoma"/>
            <charset val="134"/>
          </rPr>
          <t>ADMIN:</t>
        </r>
        <r>
          <rPr>
            <sz val="9"/>
            <rFont val="Tahoma"/>
            <charset val="134"/>
          </rPr>
          <t xml:space="preserve">
This column takes 1 if Typically, the same dairy controls the same
school districts year after year.
IF(AND(C2=C1,D2=D1),1,0)
</t>
        </r>
      </text>
    </comment>
    <comment ref="F1" authorId="0" shapeId="0" xr:uid="{00000000-0006-0000-0200-000003000000}">
      <text>
        <r>
          <rPr>
            <b/>
            <sz val="9"/>
            <rFont val="Tahoma"/>
            <charset val="134"/>
          </rPr>
          <t>ADMIN:</t>
        </r>
        <r>
          <rPr>
            <sz val="9"/>
            <rFont val="Tahoma"/>
            <charset val="134"/>
          </rPr>
          <t xml:space="preserve">
 1 bid</t>
        </r>
      </text>
    </comment>
    <comment ref="I6" authorId="0" shapeId="0" xr:uid="{00000000-0006-0000-0200-000004000000}">
      <text>
        <r>
          <rPr>
            <b/>
            <sz val="9"/>
            <rFont val="Tahoma"/>
            <charset val="134"/>
          </rPr>
          <t>ADMIN:</t>
        </r>
        <r>
          <rPr>
            <sz val="9"/>
            <rFont val="Tahoma"/>
            <charset val="134"/>
          </rPr>
          <t xml:space="preserve">
Use SUMIFS</t>
        </r>
      </text>
    </comment>
    <comment ref="I7" authorId="0" shapeId="0" xr:uid="{00000000-0006-0000-0200-000005000000}">
      <text>
        <r>
          <rPr>
            <b/>
            <sz val="9"/>
            <rFont val="Tahoma"/>
            <charset val="134"/>
          </rPr>
          <t>ADMIN:</t>
        </r>
        <r>
          <rPr>
            <sz val="9"/>
            <rFont val="Tahoma"/>
            <charset val="134"/>
          </rPr>
          <t xml:space="preserve">
Use SUMIFS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Phanv</author>
  </authors>
  <commentList>
    <comment ref="B1" authorId="0" shapeId="0" xr:uid="{00000000-0006-0000-0300-000001000000}">
      <text>
        <r>
          <rPr>
            <b/>
            <sz val="9"/>
            <rFont val="Tahoma"/>
            <charset val="134"/>
          </rPr>
          <t>ADMIN:</t>
        </r>
        <r>
          <rPr>
            <sz val="9"/>
            <rFont val="Tahoma"/>
            <charset val="134"/>
          </rPr>
          <t xml:space="preserve">
Sort by distric, year, and winner</t>
        </r>
      </text>
    </comment>
    <comment ref="E1" authorId="1" shapeId="0" xr:uid="{00000000-0006-0000-0300-000002000000}">
      <text>
        <r>
          <rPr>
            <b/>
            <sz val="9"/>
            <rFont val="Times New Roman"/>
            <charset val="134"/>
          </rPr>
          <t>Phanv:
Nghi ngờ thông thầu</t>
        </r>
        <r>
          <rPr>
            <sz val="9"/>
            <rFont val="Times New Roman"/>
            <charset val="134"/>
          </rPr>
          <t xml:space="preserve">
1: Nghi ngờ
0: 0 nghi ngờ</t>
        </r>
      </text>
    </comment>
    <comment ref="J5" authorId="0" shapeId="0" xr:uid="{00000000-0006-0000-0300-000003000000}">
      <text>
        <r>
          <rPr>
            <b/>
            <sz val="9"/>
            <rFont val="Tahoma"/>
            <charset val="134"/>
          </rPr>
          <t>ADMIN:</t>
        </r>
        <r>
          <rPr>
            <sz val="9"/>
            <rFont val="Tahoma"/>
            <charset val="134"/>
          </rPr>
          <t xml:space="preserve">
Use SUMIFS</t>
        </r>
      </text>
    </comment>
    <comment ref="J6" authorId="0" shapeId="0" xr:uid="{00000000-0006-0000-0300-000004000000}">
      <text>
        <r>
          <rPr>
            <b/>
            <sz val="9"/>
            <rFont val="Tahoma"/>
            <charset val="134"/>
          </rPr>
          <t>ADMIN:</t>
        </r>
        <r>
          <rPr>
            <sz val="9"/>
            <rFont val="Tahoma"/>
            <charset val="134"/>
          </rPr>
          <t xml:space="preserve">
Use SUMIFS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849385-0CE6-49CB-9189-641E95CDAA36}" keepAlive="1" name="Query - Average winning bid prices" description="Connection to the 'Average winning bid prices' query in the workbook." type="5" refreshedVersion="8" background="1" saveData="1">
    <dbPr connection="Provider=Microsoft.Mashup.OleDb.1;Data Source=$Workbook$;Location=&quot;Average winning bid prices&quot;;Extended Properties=&quot;&quot;" command="SELECT * FROM [Average winning bid prices]"/>
  </connection>
  <connection id="2" xr16:uid="{1FCD522A-036D-420E-85E7-6579C363F316}" keepAlive="1" name="Query - Average winning bid prices (2)" description="Connection to the 'Average winning bid prices (2)' query in the workbook." type="5" refreshedVersion="8" background="1" saveData="1">
    <dbPr connection="Provider=Microsoft.Mashup.OleDb.1;Data Source=$Workbook$;Location=&quot;Average winning bid prices (2)&quot;;Extended Properties=&quot;&quot;" command="SELECT * FROM [Average winning bid prices (2)]"/>
  </connection>
  <connection id="3" xr16:uid="{FECDA357-7C5D-43AE-9CCB-79D60417E851}" keepAlive="1" name="Query - Table5" description="Connection to the 'Table5' query in the workbook." type="5" refreshedVersion="0" background="1" saveData="1">
    <dbPr connection="Provider=Microsoft.Mashup.OleDb.1;Data Source=$Workbook$;Location=Table5;Extended Properties=&quot;&quot;" command="SELECT * FROM [Table5]"/>
  </connection>
  <connection id="4" xr16:uid="{F51DF5A3-02C4-4EA8-8B61-C5C79C878C09}" keepAlive="1" name="Query - Table5 (2)" description="Connection to the 'Table5 (2)' query in the workbook." type="5" refreshedVersion="8" background="1" saveData="1">
    <dbPr connection="Provider=Microsoft.Mashup.OleDb.1;Data Source=$Workbook$;Location=&quot;Table5 (2)&quot;;Extended Properties=&quot;&quot;" command="SELECT * FROM [Table5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<sst xmlns="http://schemas.openxmlformats.org/spreadsheetml/2006/main" count="7855" uniqueCount="360">
  <si>
    <t>Year</t>
  </si>
  <si>
    <t>Market</t>
  </si>
  <si>
    <t>Winner</t>
  </si>
  <si>
    <t>WWBID</t>
  </si>
  <si>
    <t>WWQTY</t>
  </si>
  <si>
    <t>LFWBID</t>
  </si>
  <si>
    <t>LFWQTY</t>
  </si>
  <si>
    <t>LFCBID</t>
  </si>
  <si>
    <t>LFCQTY</t>
  </si>
  <si>
    <t>District</t>
  </si>
  <si>
    <t>KYFMO</t>
  </si>
  <si>
    <t>MilesM</t>
  </si>
  <si>
    <t>MilesT</t>
  </si>
  <si>
    <t>LetDate</t>
  </si>
  <si>
    <t xml:space="preserve"> TRI-COUNTY </t>
  </si>
  <si>
    <t xml:space="preserve">MEYER         </t>
  </si>
  <si>
    <t>.</t>
  </si>
  <si>
    <t xml:space="preserve"> 06/20/83</t>
  </si>
  <si>
    <t xml:space="preserve">TRAUTH        </t>
  </si>
  <si>
    <t xml:space="preserve"> 06/02/83</t>
  </si>
  <si>
    <t xml:space="preserve"> SURROUND   </t>
  </si>
  <si>
    <t xml:space="preserve">HILL'S DAIRY  </t>
  </si>
  <si>
    <t xml:space="preserve"> 06/28/83</t>
  </si>
  <si>
    <t xml:space="preserve"> 07/20/83</t>
  </si>
  <si>
    <t xml:space="preserve"> 07/06/83</t>
  </si>
  <si>
    <t xml:space="preserve">CLOVERLEAF    </t>
  </si>
  <si>
    <t xml:space="preserve"> 07/18/83</t>
  </si>
  <si>
    <t xml:space="preserve"> 07/21/83</t>
  </si>
  <si>
    <t xml:space="preserve">BORDEN        </t>
  </si>
  <si>
    <t xml:space="preserve"> 07/11/83</t>
  </si>
  <si>
    <t xml:space="preserve"> 07/19/83</t>
  </si>
  <si>
    <t xml:space="preserve">FLAV-O-RICH   </t>
  </si>
  <si>
    <t xml:space="preserve"> 07/05/83</t>
  </si>
  <si>
    <t xml:space="preserve"> 07/01/83</t>
  </si>
  <si>
    <t xml:space="preserve"> 08/03/83</t>
  </si>
  <si>
    <t xml:space="preserve"> 08/05/83</t>
  </si>
  <si>
    <t xml:space="preserve"> 08/11/83</t>
  </si>
  <si>
    <t xml:space="preserve"> 08/08/83</t>
  </si>
  <si>
    <t xml:space="preserve"> 08/09/83</t>
  </si>
  <si>
    <t xml:space="preserve">WILSON DIST.  </t>
  </si>
  <si>
    <t xml:space="preserve"> 08/01/83</t>
  </si>
  <si>
    <t xml:space="preserve">ROYAL CREST   </t>
  </si>
  <si>
    <t xml:space="preserve"> 08/29/83</t>
  </si>
  <si>
    <t>THOMPSON-GLASS</t>
  </si>
  <si>
    <t xml:space="preserve"> 08/10/83</t>
  </si>
  <si>
    <t xml:space="preserve"> 09/12/83</t>
  </si>
  <si>
    <t xml:space="preserve"> 05/14/84</t>
  </si>
  <si>
    <t xml:space="preserve"> 06/20/84</t>
  </si>
  <si>
    <t xml:space="preserve"> 06/29/84</t>
  </si>
  <si>
    <t xml:space="preserve"> 06/08/84</t>
  </si>
  <si>
    <t xml:space="preserve"> 06/01/84</t>
  </si>
  <si>
    <t xml:space="preserve"> 07/17/84</t>
  </si>
  <si>
    <t xml:space="preserve"> 07/27/84</t>
  </si>
  <si>
    <t xml:space="preserve"> 07/16/84</t>
  </si>
  <si>
    <t xml:space="preserve"> 07/26/84</t>
  </si>
  <si>
    <t>SOUTHERN BELLE</t>
  </si>
  <si>
    <t xml:space="preserve"> 07/09/84</t>
  </si>
  <si>
    <t xml:space="preserve"> 07/06/84</t>
  </si>
  <si>
    <t xml:space="preserve"> 08/13/84</t>
  </si>
  <si>
    <t xml:space="preserve"> 08/01/84</t>
  </si>
  <si>
    <t xml:space="preserve"> 08/10/84</t>
  </si>
  <si>
    <t xml:space="preserve"> 08/21/84</t>
  </si>
  <si>
    <t xml:space="preserve"> 08/14/84</t>
  </si>
  <si>
    <t xml:space="preserve"> 08/29/84</t>
  </si>
  <si>
    <t xml:space="preserve"> 08/08/84</t>
  </si>
  <si>
    <t xml:space="preserve"> 05/13/85</t>
  </si>
  <si>
    <t xml:space="preserve"> 06/04/85</t>
  </si>
  <si>
    <t xml:space="preserve"> 07/16/85</t>
  </si>
  <si>
    <t xml:space="preserve"> 07/29/85</t>
  </si>
  <si>
    <t xml:space="preserve"> 07/05/85</t>
  </si>
  <si>
    <t xml:space="preserve"> 07/17/85</t>
  </si>
  <si>
    <t xml:space="preserve"> 07/22/85</t>
  </si>
  <si>
    <t xml:space="preserve"> 07/15/85</t>
  </si>
  <si>
    <t xml:space="preserve">FRENCH DIST.  </t>
  </si>
  <si>
    <t xml:space="preserve"> 07/30/85</t>
  </si>
  <si>
    <t xml:space="preserve"> 07/10/85</t>
  </si>
  <si>
    <t xml:space="preserve"> 07/08/85</t>
  </si>
  <si>
    <t xml:space="preserve"> 07/18/85</t>
  </si>
  <si>
    <t xml:space="preserve"> 07/12/85</t>
  </si>
  <si>
    <t xml:space="preserve"> 08/12/85</t>
  </si>
  <si>
    <t xml:space="preserve"> 08/05/85</t>
  </si>
  <si>
    <t xml:space="preserve"> 08/15/85</t>
  </si>
  <si>
    <t xml:space="preserve"> 08/02/85</t>
  </si>
  <si>
    <t xml:space="preserve"> 08/09/85</t>
  </si>
  <si>
    <t xml:space="preserve"> 08/08/85</t>
  </si>
  <si>
    <t xml:space="preserve"> 08/07/85</t>
  </si>
  <si>
    <t xml:space="preserve"> 08/14/85</t>
  </si>
  <si>
    <t xml:space="preserve"> 06/30/86</t>
  </si>
  <si>
    <t xml:space="preserve"> 06/05/86</t>
  </si>
  <si>
    <t xml:space="preserve"> 06/06/86</t>
  </si>
  <si>
    <t xml:space="preserve"> 06/04/86</t>
  </si>
  <si>
    <t xml:space="preserve"> 07/03/86</t>
  </si>
  <si>
    <t xml:space="preserve"> 07/31/86</t>
  </si>
  <si>
    <t xml:space="preserve"> 07/29/86</t>
  </si>
  <si>
    <t xml:space="preserve"> 07/24/86</t>
  </si>
  <si>
    <t xml:space="preserve"> 07/11/86</t>
  </si>
  <si>
    <t xml:space="preserve"> 07/18/86</t>
  </si>
  <si>
    <t xml:space="preserve"> 07/10/86</t>
  </si>
  <si>
    <t xml:space="preserve"> 07/14/86</t>
  </si>
  <si>
    <t xml:space="preserve"> 07/22/86</t>
  </si>
  <si>
    <t xml:space="preserve">WESTOVER      </t>
  </si>
  <si>
    <t xml:space="preserve"> 07/17/86</t>
  </si>
  <si>
    <t xml:space="preserve"> 07/25/86</t>
  </si>
  <si>
    <t>LICKING VALLEY</t>
  </si>
  <si>
    <t xml:space="preserve"> 08/11/86</t>
  </si>
  <si>
    <t xml:space="preserve"> 08/19/86</t>
  </si>
  <si>
    <t xml:space="preserve"> 08/06/86</t>
  </si>
  <si>
    <t xml:space="preserve"> 08/07/86</t>
  </si>
  <si>
    <t xml:space="preserve"> 08/08/86</t>
  </si>
  <si>
    <t xml:space="preserve"> 08/04/86</t>
  </si>
  <si>
    <t xml:space="preserve"> 08/05/86</t>
  </si>
  <si>
    <t xml:space="preserve"> 05/21/87</t>
  </si>
  <si>
    <t xml:space="preserve">THOMPSON      </t>
  </si>
  <si>
    <t xml:space="preserve"> 05/27/87</t>
  </si>
  <si>
    <t xml:space="preserve"> 06/02/87</t>
  </si>
  <si>
    <t xml:space="preserve"> 06/01/87</t>
  </si>
  <si>
    <t xml:space="preserve"> 07/27/87</t>
  </si>
  <si>
    <t xml:space="preserve"> 07/08/87</t>
  </si>
  <si>
    <t xml:space="preserve"> 07/09/87</t>
  </si>
  <si>
    <t xml:space="preserve"> 07/31/87</t>
  </si>
  <si>
    <t xml:space="preserve"> 07/01/87</t>
  </si>
  <si>
    <t xml:space="preserve"> 07/14/87</t>
  </si>
  <si>
    <t xml:space="preserve"> 07/21/87</t>
  </si>
  <si>
    <t xml:space="preserve"> 07/05/87</t>
  </si>
  <si>
    <t xml:space="preserve"> 07/11/87</t>
  </si>
  <si>
    <t xml:space="preserve"> 07/13/87</t>
  </si>
  <si>
    <t xml:space="preserve"> 07/10/87</t>
  </si>
  <si>
    <t xml:space="preserve"> 07/28/87</t>
  </si>
  <si>
    <t xml:space="preserve"> 08/10/87</t>
  </si>
  <si>
    <t xml:space="preserve"> 08/17/87</t>
  </si>
  <si>
    <t xml:space="preserve"> 08/19/87</t>
  </si>
  <si>
    <t xml:space="preserve"> 08/07/87</t>
  </si>
  <si>
    <t xml:space="preserve">SEALTEST      </t>
  </si>
  <si>
    <t xml:space="preserve"> 08/04/87</t>
  </si>
  <si>
    <t xml:space="preserve"> 08/06/87</t>
  </si>
  <si>
    <t xml:space="preserve"> 05/25/88</t>
  </si>
  <si>
    <t xml:space="preserve"> 06/07/88</t>
  </si>
  <si>
    <t xml:space="preserve"> 06/27/88</t>
  </si>
  <si>
    <t xml:space="preserve"> 06/03/88</t>
  </si>
  <si>
    <t xml:space="preserve"> 07/11/88</t>
  </si>
  <si>
    <t xml:space="preserve"> 07/08/88</t>
  </si>
  <si>
    <t xml:space="preserve"> 07/28/88</t>
  </si>
  <si>
    <t xml:space="preserve"> 07/13/88</t>
  </si>
  <si>
    <t xml:space="preserve"> 07/29/88</t>
  </si>
  <si>
    <t xml:space="preserve"> 07/01/88</t>
  </si>
  <si>
    <t xml:space="preserve"> 07/20/88</t>
  </si>
  <si>
    <t xml:space="preserve"> 07/19/88</t>
  </si>
  <si>
    <t xml:space="preserve"> 07/27/88</t>
  </si>
  <si>
    <t xml:space="preserve"> 07/26/88</t>
  </si>
  <si>
    <t xml:space="preserve"> 07/09/88</t>
  </si>
  <si>
    <t xml:space="preserve"> 07/07/88</t>
  </si>
  <si>
    <t xml:space="preserve"> 07/21/88</t>
  </si>
  <si>
    <t xml:space="preserve"> 08/08/88</t>
  </si>
  <si>
    <t xml:space="preserve"> 08/16/88</t>
  </si>
  <si>
    <t xml:space="preserve"> 08/05/88</t>
  </si>
  <si>
    <t xml:space="preserve"> 08/04/88</t>
  </si>
  <si>
    <t xml:space="preserve"> 08/12/88</t>
  </si>
  <si>
    <t xml:space="preserve"> 08/29/88</t>
  </si>
  <si>
    <t xml:space="preserve"> 08/09/88</t>
  </si>
  <si>
    <t xml:space="preserve"> 01/17/89</t>
  </si>
  <si>
    <t xml:space="preserve"> 05/24/89</t>
  </si>
  <si>
    <t xml:space="preserve"> 06/20/89</t>
  </si>
  <si>
    <t xml:space="preserve"> 06/15/89</t>
  </si>
  <si>
    <t xml:space="preserve"> 06/13/89</t>
  </si>
  <si>
    <t xml:space="preserve"> 06/28/89</t>
  </si>
  <si>
    <t xml:space="preserve"> 06/08/89</t>
  </si>
  <si>
    <t xml:space="preserve"> 06/06/89</t>
  </si>
  <si>
    <t xml:space="preserve"> 06/02/89</t>
  </si>
  <si>
    <t xml:space="preserve"> 07/08/89</t>
  </si>
  <si>
    <t xml:space="preserve"> 07/13/89</t>
  </si>
  <si>
    <t xml:space="preserve"> 07/12/89</t>
  </si>
  <si>
    <t xml:space="preserve"> 07/03/89</t>
  </si>
  <si>
    <t xml:space="preserve"> 07/14/89</t>
  </si>
  <si>
    <t xml:space="preserve"> 07/10/89</t>
  </si>
  <si>
    <t xml:space="preserve"> 07/17/89</t>
  </si>
  <si>
    <t xml:space="preserve"> 07/21/89</t>
  </si>
  <si>
    <t xml:space="preserve"> 07/19/89</t>
  </si>
  <si>
    <t xml:space="preserve"> 07/07/89</t>
  </si>
  <si>
    <t xml:space="preserve"> 07/28/89</t>
  </si>
  <si>
    <t xml:space="preserve"> 07/25/89</t>
  </si>
  <si>
    <t xml:space="preserve"> 08/10/89</t>
  </si>
  <si>
    <t xml:space="preserve"> 08/07/89</t>
  </si>
  <si>
    <t xml:space="preserve"> 08/04/89</t>
  </si>
  <si>
    <t xml:space="preserve"> 08/17/89</t>
  </si>
  <si>
    <t xml:space="preserve"> 08/09/89</t>
  </si>
  <si>
    <t xml:space="preserve"> 09/26/89</t>
  </si>
  <si>
    <t xml:space="preserve"> 05/23/90</t>
  </si>
  <si>
    <t xml:space="preserve"> 06/25/90</t>
  </si>
  <si>
    <t xml:space="preserve"> 06/07/90</t>
  </si>
  <si>
    <t xml:space="preserve"> 06/06/90</t>
  </si>
  <si>
    <t xml:space="preserve"> 06/29/90</t>
  </si>
  <si>
    <t xml:space="preserve"> 07/16/90</t>
  </si>
  <si>
    <t xml:space="preserve"> 07/12/90</t>
  </si>
  <si>
    <t xml:space="preserve"> 07/18/90</t>
  </si>
  <si>
    <t xml:space="preserve"> 07/11/90</t>
  </si>
  <si>
    <t xml:space="preserve"> 07/19/90</t>
  </si>
  <si>
    <t xml:space="preserve"> 07/29/90</t>
  </si>
  <si>
    <t xml:space="preserve"> 07/24/90</t>
  </si>
  <si>
    <t xml:space="preserve"> 07/23/90</t>
  </si>
  <si>
    <t xml:space="preserve"> 07/09/90</t>
  </si>
  <si>
    <t xml:space="preserve"> 07/10/90</t>
  </si>
  <si>
    <t xml:space="preserve"> 07/20/90</t>
  </si>
  <si>
    <t xml:space="preserve"> 07/06/90</t>
  </si>
  <si>
    <t xml:space="preserve"> 08/29/90</t>
  </si>
  <si>
    <t xml:space="preserve"> 08/13/90</t>
  </si>
  <si>
    <t xml:space="preserve"> 08/03/90</t>
  </si>
  <si>
    <t xml:space="preserve"> 08/14/90</t>
  </si>
  <si>
    <t xml:space="preserve"> 08/21/90</t>
  </si>
  <si>
    <t xml:space="preserve"> 11/20/90</t>
  </si>
  <si>
    <t xml:space="preserve"> 06/16/91</t>
  </si>
  <si>
    <t xml:space="preserve"> 06/26/91</t>
  </si>
  <si>
    <t xml:space="preserve"> 07/23/91</t>
  </si>
  <si>
    <t xml:space="preserve"> 07/22/91</t>
  </si>
  <si>
    <t xml:space="preserve"> 07/31/91</t>
  </si>
  <si>
    <t xml:space="preserve"> 07/15/91</t>
  </si>
  <si>
    <t xml:space="preserve"> 07/08/91</t>
  </si>
  <si>
    <t xml:space="preserve"> 07/11/91</t>
  </si>
  <si>
    <t xml:space="preserve"> 07/03/91</t>
  </si>
  <si>
    <t xml:space="preserve"> 08/07/91</t>
  </si>
  <si>
    <t xml:space="preserve"> 08/12/91</t>
  </si>
  <si>
    <t xml:space="preserve"> 08/01/91</t>
  </si>
  <si>
    <t xml:space="preserve"> 08/13/91</t>
  </si>
  <si>
    <t xml:space="preserve">DEAN'S MILK   </t>
  </si>
  <si>
    <t xml:space="preserve"> 06/13/83</t>
  </si>
  <si>
    <t xml:space="preserve"> 06/27/83</t>
  </si>
  <si>
    <t xml:space="preserve"> 07/14/83</t>
  </si>
  <si>
    <t xml:space="preserve"> 07/27/83</t>
  </si>
  <si>
    <t xml:space="preserve">HOLLAND       </t>
  </si>
  <si>
    <t xml:space="preserve"> 07/12/83</t>
  </si>
  <si>
    <t xml:space="preserve"> 08/12/83</t>
  </si>
  <si>
    <t xml:space="preserve">KRAFT         </t>
  </si>
  <si>
    <t xml:space="preserve"> 12/20/83</t>
  </si>
  <si>
    <t xml:space="preserve"> 06/28/84</t>
  </si>
  <si>
    <t xml:space="preserve"> 06/18/84</t>
  </si>
  <si>
    <t xml:space="preserve"> 06/15/84</t>
  </si>
  <si>
    <t xml:space="preserve"> 06/26/84</t>
  </si>
  <si>
    <t xml:space="preserve"> 07/12/84</t>
  </si>
  <si>
    <t xml:space="preserve"> 07/31/84</t>
  </si>
  <si>
    <t xml:space="preserve"> 08/09/84</t>
  </si>
  <si>
    <t xml:space="preserve"> 06/28/85</t>
  </si>
  <si>
    <t xml:space="preserve"> 06/27/85</t>
  </si>
  <si>
    <t xml:space="preserve"> 06/25/85</t>
  </si>
  <si>
    <t xml:space="preserve"> 06/24/85</t>
  </si>
  <si>
    <t xml:space="preserve">J. W. HAYWOOD </t>
  </si>
  <si>
    <t xml:space="preserve"> 07/11/85</t>
  </si>
  <si>
    <t xml:space="preserve"> 08/29/85</t>
  </si>
  <si>
    <t xml:space="preserve"> 08/13/85</t>
  </si>
  <si>
    <t xml:space="preserve"> 06/27/86</t>
  </si>
  <si>
    <t xml:space="preserve">SOUTHEASTERN  </t>
  </si>
  <si>
    <t xml:space="preserve"> 06/24/86</t>
  </si>
  <si>
    <t xml:space="preserve"> 06/10/86</t>
  </si>
  <si>
    <t xml:space="preserve"> 07/15/86</t>
  </si>
  <si>
    <t xml:space="preserve"> 07/08/86</t>
  </si>
  <si>
    <t xml:space="preserve"> 08/14/86</t>
  </si>
  <si>
    <t xml:space="preserve"> 08/29/86</t>
  </si>
  <si>
    <t xml:space="preserve"> 08/12/86</t>
  </si>
  <si>
    <t xml:space="preserve"> 08/01/86</t>
  </si>
  <si>
    <t xml:space="preserve"> 05/11/87</t>
  </si>
  <si>
    <t xml:space="preserve"> 06/08/87</t>
  </si>
  <si>
    <t xml:space="preserve"> 06/05/87</t>
  </si>
  <si>
    <t xml:space="preserve"> 07/02/87</t>
  </si>
  <si>
    <t xml:space="preserve"> 07/29/87</t>
  </si>
  <si>
    <t xml:space="preserve"> 08/13/87</t>
  </si>
  <si>
    <t xml:space="preserve"> 08/29/87</t>
  </si>
  <si>
    <t xml:space="preserve"> 08/18/87</t>
  </si>
  <si>
    <t xml:space="preserve"> 08/11/87</t>
  </si>
  <si>
    <t xml:space="preserve"> 05/06/88</t>
  </si>
  <si>
    <t xml:space="preserve"> 06/23/88</t>
  </si>
  <si>
    <t xml:space="preserve"> 06/14/88</t>
  </si>
  <si>
    <t xml:space="preserve"> 06/08/88</t>
  </si>
  <si>
    <t xml:space="preserve"> 07/15/88</t>
  </si>
  <si>
    <t xml:space="preserve"> 07/12/88</t>
  </si>
  <si>
    <t xml:space="preserve"> 07/14/88</t>
  </si>
  <si>
    <t xml:space="preserve"> 07/18/88</t>
  </si>
  <si>
    <t xml:space="preserve"> 08/11/88</t>
  </si>
  <si>
    <t xml:space="preserve"> 08/02/88</t>
  </si>
  <si>
    <t xml:space="preserve"> 05/02/89</t>
  </si>
  <si>
    <t xml:space="preserve"> 06/22/89</t>
  </si>
  <si>
    <t xml:space="preserve"> 06/23/89</t>
  </si>
  <si>
    <t xml:space="preserve"> 06/19/89</t>
  </si>
  <si>
    <t xml:space="preserve"> 07/05/89</t>
  </si>
  <si>
    <t xml:space="preserve"> 07/06/89</t>
  </si>
  <si>
    <t xml:space="preserve"> 08/13/89</t>
  </si>
  <si>
    <t xml:space="preserve"> 08/29/89</t>
  </si>
  <si>
    <t xml:space="preserve"> 08/15/89</t>
  </si>
  <si>
    <t xml:space="preserve"> 05/03/90</t>
  </si>
  <si>
    <t xml:space="preserve"> 06/20/90</t>
  </si>
  <si>
    <t xml:space="preserve"> 06/08/90</t>
  </si>
  <si>
    <t xml:space="preserve"> 07/26/90</t>
  </si>
  <si>
    <t xml:space="preserve"> 07/13/90</t>
  </si>
  <si>
    <t xml:space="preserve"> 07/05/90</t>
  </si>
  <si>
    <t xml:space="preserve"> 07/27/90</t>
  </si>
  <si>
    <t xml:space="preserve"> 07/02/90</t>
  </si>
  <si>
    <t xml:space="preserve"> 08/02/90</t>
  </si>
  <si>
    <t xml:space="preserve"> 08/08/91</t>
  </si>
  <si>
    <t xml:space="preserve">Total Quantity </t>
  </si>
  <si>
    <t>Market Share</t>
  </si>
  <si>
    <t>Table 1: Total quantity awarded to each firm per year</t>
  </si>
  <si>
    <t>TRI-COUNTY</t>
  </si>
  <si>
    <t>MEYER</t>
  </si>
  <si>
    <t>Grand total</t>
  </si>
  <si>
    <t>TRAUTH</t>
  </si>
  <si>
    <t>Total</t>
  </si>
  <si>
    <t>Table 2: Market share of each firm per year</t>
  </si>
  <si>
    <t>Total tri-county market quantity</t>
  </si>
  <si>
    <t xml:space="preserve">Sum of Total Quantity </t>
  </si>
  <si>
    <t>Column Labels</t>
  </si>
  <si>
    <t>TRI-COUNTY Total</t>
  </si>
  <si>
    <t>Grand Total</t>
  </si>
  <si>
    <t>Row Labels</t>
  </si>
  <si>
    <t>SURROUND</t>
  </si>
  <si>
    <t>BORDEN</t>
  </si>
  <si>
    <t>CLOVERLEAF</t>
  </si>
  <si>
    <t>DEAN'S MILK</t>
  </si>
  <si>
    <t>FLAV-O-RICH</t>
  </si>
  <si>
    <t>FRENCH DIST.</t>
  </si>
  <si>
    <t>HILL'S DAIRY</t>
  </si>
  <si>
    <t>HOLLAND</t>
  </si>
  <si>
    <t>J. W. HAYWOOD</t>
  </si>
  <si>
    <t>KRAFT</t>
  </si>
  <si>
    <t>ROYAL CREST</t>
  </si>
  <si>
    <t>SEALTEST</t>
  </si>
  <si>
    <t>SOUTHEASTERN</t>
  </si>
  <si>
    <t>THOMPSON</t>
  </si>
  <si>
    <t>WESTOVER</t>
  </si>
  <si>
    <t>WILSON DIST.</t>
  </si>
  <si>
    <t>year</t>
  </si>
  <si>
    <t>market</t>
  </si>
  <si>
    <t>winner</t>
  </si>
  <si>
    <t>district</t>
  </si>
  <si>
    <t>incum</t>
  </si>
  <si>
    <t>bid</t>
  </si>
  <si>
    <t>Table 3. Incumbency rate in the Tri-county market</t>
  </si>
  <si>
    <t>Incumbency</t>
  </si>
  <si>
    <t>Total bids</t>
  </si>
  <si>
    <t>incumbency rate</t>
  </si>
  <si>
    <t>Table 4: Incumbency rate in the sorrounding market</t>
  </si>
  <si>
    <t>Suspected bid</t>
  </si>
  <si>
    <t>Total bid</t>
  </si>
  <si>
    <t>Table 4: Incumbency rate in the Surround market</t>
  </si>
  <si>
    <t>Average</t>
  </si>
  <si>
    <t>Tri-County</t>
  </si>
  <si>
    <t>Surround</t>
  </si>
  <si>
    <t>Total Price</t>
  </si>
  <si>
    <t>Table 5. Standard deviation of winning prices for each market per year</t>
  </si>
  <si>
    <t>NA</t>
  </si>
  <si>
    <t>Table 6. Average winning prices for each market per year</t>
  </si>
  <si>
    <t>Surround correlation</t>
  </si>
  <si>
    <t>Tri-County correlation</t>
  </si>
  <si>
    <t>\</t>
  </si>
  <si>
    <t>TriCounty</t>
  </si>
  <si>
    <t>Products</t>
  </si>
  <si>
    <t>Average price</t>
  </si>
  <si>
    <t>Average of Average price</t>
  </si>
  <si>
    <t>Average winning price</t>
  </si>
  <si>
    <t>Standard deviation of winning prices</t>
  </si>
  <si>
    <t>Standard Deviation</t>
  </si>
  <si>
    <t>Sum of Standard Deviation</t>
  </si>
  <si>
    <t>Table5.Standard Deviation</t>
  </si>
  <si>
    <t>Sum of Average winning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</si>
</sst>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70" formatCode="0.000"/>
  </numFmts>
  <fonts count="7">
    <font>
      <sz val="10"/>
      <name val="Arial"/>
      <charset val="134"/>
    </font>
    <font>
      <b/>
      <sz val="10"/>
      <name val="Arial"/>
      <charset val="134"/>
    </font>
    <font>
      <sz val="11"/>
      <color theme="1"/>
      <name val="Calibri"/>
      <charset val="134"/>
      <scheme val="minor"/>
    </font>
    <font>
      <sz val="9"/>
      <name val="Times New Roman"/>
      <charset val="134"/>
    </font>
    <font>
      <b/>
      <sz val="9"/>
      <name val="Tahoma"/>
      <charset val="134"/>
    </font>
    <font>
      <sz val="9"/>
      <name val="Tahoma"/>
      <charset val="134"/>
    </font>
    <font>
      <b/>
      <sz val="9"/>
      <name val="Times New Roman"/>
      <charset val="134"/>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2" fillId="0" borderId="0" applyFont="0" applyFill="0" applyBorder="0" applyAlignment="0" applyProtection="0">
      <alignment vertical="center"/>
    </xf>
  </cellStyleXfs>
  <cellXfs count="22">
    <xf numFmtId="0" fontId="0" fillId="0" borderId="0" xfId="0"/>
    <xf numFmtId="0" fontId="1" fillId="0" borderId="0" xfId="0" applyFont="1"/>
    <xf numFmtId="164" fontId="0" fillId="0" borderId="0" xfId="0" applyNumberFormat="1"/>
    <xf numFmtId="0" fontId="0" fillId="0" borderId="0" xfId="0" applyAlignment="1">
      <alignment horizontal="left"/>
    </xf>
    <xf numFmtId="165" fontId="0" fillId="0" borderId="0" xfId="0" applyNumberFormat="1"/>
    <xf numFmtId="9" fontId="0" fillId="0" borderId="0" xfId="1" applyFont="1" applyAlignment="1"/>
    <xf numFmtId="10" fontId="0" fillId="0" borderId="0" xfId="1" applyNumberFormat="1" applyFont="1" applyAlignment="1"/>
    <xf numFmtId="9"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0" xfId="0" applyNumberFormat="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center"/>
    </xf>
    <xf numFmtId="0" fontId="0" fillId="0" borderId="0" xfId="0" applyNumberFormat="1"/>
    <xf numFmtId="170" fontId="0" fillId="0" borderId="0" xfId="0" applyNumberFormat="1"/>
  </cellXfs>
  <cellStyles count="2">
    <cellStyle name="Normal" xfId="0" builtinId="0"/>
    <cellStyle name="Percent" xfId="1" builtinId="5"/>
  </cellStyles>
  <dxfs count="16">
    <dxf>
      <numFmt numFmtId="0" formatCode="General"/>
    </dxf>
    <dxf>
      <numFmt numFmtId="0" formatCode="General"/>
    </dxf>
    <dxf>
      <numFmt numFmtId="0" formatCode="General"/>
    </dxf>
    <dxf>
      <numFmt numFmtId="0" formatCode="General"/>
    </dxf>
    <dxf>
      <numFmt numFmtId="164" formatCode="0.0000"/>
    </dxf>
    <dxf>
      <numFmt numFmtId="164" formatCode="0.0000"/>
    </dxf>
    <dxf>
      <numFmt numFmtId="164" formatCode="0.0000"/>
    </dxf>
    <dxf>
      <font>
        <b/>
        <i val="0"/>
        <strike val="0"/>
        <condense val="0"/>
        <extend val="0"/>
        <outline val="0"/>
        <shadow val="0"/>
        <u val="none"/>
        <vertAlign val="baseline"/>
        <sz val="10"/>
        <color auto="1"/>
        <name val="Arial"/>
        <charset val="134"/>
        <scheme val="none"/>
      </font>
    </dxf>
    <dxf>
      <numFmt numFmtId="0" formatCode="General"/>
    </dxf>
    <dxf>
      <numFmt numFmtId="0" formatCode="General"/>
    </dxf>
    <dxf>
      <numFmt numFmtId="164" formatCode="0.0000"/>
    </dxf>
    <dxf>
      <numFmt numFmtId="164" formatCode="0.0000"/>
    </dxf>
    <dxf>
      <numFmt numFmtId="164" formatCode="0.0000"/>
    </dxf>
    <dxf>
      <numFmt numFmtId="164" formatCode="0.0000"/>
    </dxf>
    <dxf>
      <numFmt numFmtId="0" formatCode="General"/>
    </dxf>
    <dxf>
      <numFmt numFmtId="0" formatCode="General"/>
    </dxf>
  </dxfs>
  <tableStyles count="0" defaultTableStyle="TableStyleMedium2" defaultPivotStyle="PivotStyleLight16"/>
  <colors>
    <mruColors>
      <color rgb="FFCCCCCC"/>
      <color rgb="FFFF6200"/>
      <color rgb="FF4D1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r>
              <a:rPr lang="en-US">
                <a:latin typeface="Lexend" charset="0"/>
                <a:ea typeface="Lexend" charset="0"/>
                <a:cs typeface="Lexend" charset="0"/>
                <a:sym typeface="Lexend" charset="0"/>
              </a:rPr>
              <a:t>Market Share</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title>
    <c:autoTitleDeleted val="0"/>
    <c:plotArea>
      <c:layout>
        <c:manualLayout>
          <c:layoutTarget val="inner"/>
          <c:xMode val="edge"/>
          <c:yMode val="edge"/>
          <c:x val="9.0978515400334803E-2"/>
          <c:y val="0.13254211593005"/>
          <c:w val="0.88974499089253201"/>
          <c:h val="0.71112609575185404"/>
        </c:manualLayout>
      </c:layout>
      <c:lineChart>
        <c:grouping val="standard"/>
        <c:varyColors val="0"/>
        <c:ser>
          <c:idx val="0"/>
          <c:order val="0"/>
          <c:tx>
            <c:strRef>
              <c:f>'Task 01. Market share'!$J$9</c:f>
              <c:strCache>
                <c:ptCount val="1"/>
                <c:pt idx="0">
                  <c:v>MEYER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7.5993616536210997E-4"/>
                  <c:y val="-1.18045815801777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BC-4DEC-906A-01EC7C7EAD9B}"/>
                </c:ext>
              </c:extLst>
            </c:dLbl>
            <c:dLbl>
              <c:idx val="1"/>
              <c:layout>
                <c:manualLayout>
                  <c:x val="1.91256830601093E-3"/>
                  <c:y val="0.10013486176668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BC-4DEC-906A-01EC7C7EAD9B}"/>
                </c:ext>
              </c:extLst>
            </c:dLbl>
            <c:dLbl>
              <c:idx val="2"/>
              <c:layout>
                <c:manualLayout>
                  <c:x val="1.7236536348414001E-3"/>
                  <c:y val="0.112004813899832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BC-4DEC-906A-01EC7C7EAD9B}"/>
                </c:ext>
              </c:extLst>
            </c:dLbl>
            <c:dLbl>
              <c:idx val="3"/>
              <c:layout>
                <c:manualLayout>
                  <c:x val="6.83942548825899E-4"/>
                  <c:y val="-1.1921458625525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BC-4DEC-906A-01EC7C7EAD9B}"/>
                </c:ext>
              </c:extLst>
            </c:dLbl>
            <c:dLbl>
              <c:idx val="4"/>
              <c:layout>
                <c:manualLayout>
                  <c:x val="-6.83942548825899E-4"/>
                  <c:y val="-6.4282374941561499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BC-4DEC-906A-01EC7C7EAD9B}"/>
                </c:ext>
              </c:extLst>
            </c:dLbl>
            <c:dLbl>
              <c:idx val="5"/>
              <c:layout>
                <c:manualLayout>
                  <c:x val="-2.8117638118398099E-3"/>
                  <c:y val="-4.3244506778868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BC-4DEC-906A-01EC7C7EAD9B}"/>
                </c:ext>
              </c:extLst>
            </c:dLbl>
            <c:dLbl>
              <c:idx val="6"/>
              <c:layout>
                <c:manualLayout>
                  <c:x val="-4.1796489094916003E-3"/>
                  <c:y val="7.4450677886863006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BC-4DEC-906A-01EC7C7EAD9B}"/>
                </c:ext>
              </c:extLst>
            </c:dLbl>
            <c:dLbl>
              <c:idx val="7"/>
              <c:layout>
                <c:manualLayout>
                  <c:x val="2.8117638118398099E-3"/>
                  <c:y val="6.5801776531089304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4BC-4DEC-906A-01EC7C7EAD9B}"/>
                </c:ext>
              </c:extLst>
            </c:dLbl>
            <c:dLbl>
              <c:idx val="8"/>
              <c:layout>
                <c:manualLayout>
                  <c:x val="1.9682346682878601E-2"/>
                  <c:y val="7.0126227208976197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BC-4DEC-906A-01EC7C7EAD9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01. Market share'!$K$8:$S$8</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01. Market share'!$K$9:$S$9</c:f>
              <c:numCache>
                <c:formatCode>0.00%</c:formatCode>
                <c:ptCount val="9"/>
                <c:pt idx="0">
                  <c:v>0.90300571865943502</c:v>
                </c:pt>
                <c:pt idx="1">
                  <c:v>0.45224061549253902</c:v>
                </c:pt>
                <c:pt idx="2">
                  <c:v>0.48792118837707699</c:v>
                </c:pt>
                <c:pt idx="3">
                  <c:v>0.54251201210699795</c:v>
                </c:pt>
                <c:pt idx="4">
                  <c:v>0.51130054683257098</c:v>
                </c:pt>
                <c:pt idx="5">
                  <c:v>0.53603521028377199</c:v>
                </c:pt>
                <c:pt idx="6">
                  <c:v>0.32359585886609699</c:v>
                </c:pt>
                <c:pt idx="7">
                  <c:v>0.29034344151603703</c:v>
                </c:pt>
                <c:pt idx="8">
                  <c:v>0.45904322135423897</c:v>
                </c:pt>
              </c:numCache>
            </c:numRef>
          </c:val>
          <c:smooth val="0"/>
          <c:extLst>
            <c:ext xmlns:c16="http://schemas.microsoft.com/office/drawing/2014/chart" uri="{C3380CC4-5D6E-409C-BE32-E72D297353CC}">
              <c16:uniqueId val="{00000009-E4BC-4DEC-906A-01EC7C7EAD9B}"/>
            </c:ext>
          </c:extLst>
        </c:ser>
        <c:ser>
          <c:idx val="1"/>
          <c:order val="1"/>
          <c:tx>
            <c:strRef>
              <c:f>'Task 01. Market share'!$J$10</c:f>
              <c:strCache>
                <c:ptCount val="1"/>
                <c:pt idx="0">
                  <c:v>TRAUTH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2.1278212630139099E-3"/>
                  <c:y val="6.68536699392238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BC-4DEC-906A-01EC7C7EAD9B}"/>
                </c:ext>
              </c:extLst>
            </c:dLbl>
            <c:dLbl>
              <c:idx val="1"/>
              <c:layout>
                <c:manualLayout>
                  <c:x val="1.12470552473592E-2"/>
                  <c:y val="-5.3763440860215101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4BC-4DEC-906A-01EC7C7EAD9B}"/>
                </c:ext>
              </c:extLst>
            </c:dLbl>
            <c:dLbl>
              <c:idx val="2"/>
              <c:layout>
                <c:manualLayout>
                  <c:x val="-6.83942548825899E-4"/>
                  <c:y val="-1.50771388499298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4BC-4DEC-906A-01EC7C7EAD9B}"/>
                </c:ext>
              </c:extLst>
            </c:dLbl>
            <c:dLbl>
              <c:idx val="3"/>
              <c:layout>
                <c:manualLayout>
                  <c:x val="6.83942548825899E-4"/>
                  <c:y val="6.80224403927068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4BC-4DEC-906A-01EC7C7EAD9B}"/>
                </c:ext>
              </c:extLst>
            </c:dLbl>
            <c:dLbl>
              <c:idx val="4"/>
              <c:layout>
                <c:manualLayout>
                  <c:x val="7.5993616536210997E-4"/>
                  <c:y val="7.7723235156615195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4BC-4DEC-906A-01EC7C7EAD9B}"/>
                </c:ext>
              </c:extLst>
            </c:dLbl>
            <c:dLbl>
              <c:idx val="5"/>
              <c:layout>
                <c:manualLayout>
                  <c:x val="-6.83942548825899E-4"/>
                  <c:y val="7.33987844787283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4BC-4DEC-906A-01EC7C7EAD9B}"/>
                </c:ext>
              </c:extLst>
            </c:dLbl>
            <c:dLbl>
              <c:idx val="6"/>
              <c:layout>
                <c:manualLayout>
                  <c:x val="-1.3678850976517999E-3"/>
                  <c:y val="-1.1921458625525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BC-4DEC-906A-01EC7C7EAD9B}"/>
                </c:ext>
              </c:extLst>
            </c:dLbl>
            <c:dLbl>
              <c:idx val="7"/>
              <c:layout>
                <c:manualLayout>
                  <c:x val="0"/>
                  <c:y val="1.16877045348294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4BC-4DEC-906A-01EC7C7EAD9B}"/>
                </c:ext>
              </c:extLst>
            </c:dLbl>
            <c:dLbl>
              <c:idx val="8"/>
              <c:layout>
                <c:manualLayout>
                  <c:x val="1.32988828938369E-2"/>
                  <c:y val="-2.1037868162692799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4BC-4DEC-906A-01EC7C7EAD9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01. Market share'!$K$8:$S$8</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01. Market share'!$K$10:$S$10</c:f>
              <c:numCache>
                <c:formatCode>0.00%</c:formatCode>
                <c:ptCount val="9"/>
                <c:pt idx="0">
                  <c:v>9.6994281340564897E-2</c:v>
                </c:pt>
                <c:pt idx="1">
                  <c:v>0.54775938450746098</c:v>
                </c:pt>
                <c:pt idx="2">
                  <c:v>0.51207881162292301</c:v>
                </c:pt>
                <c:pt idx="3">
                  <c:v>0.45748798789300199</c:v>
                </c:pt>
                <c:pt idx="4">
                  <c:v>0.48869945316742902</c:v>
                </c:pt>
                <c:pt idx="5">
                  <c:v>0.46396478971622801</c:v>
                </c:pt>
                <c:pt idx="6">
                  <c:v>0.67640414113390301</c:v>
                </c:pt>
                <c:pt idx="7">
                  <c:v>0.70965655848396303</c:v>
                </c:pt>
                <c:pt idx="8">
                  <c:v>0.54095677864576097</c:v>
                </c:pt>
              </c:numCache>
            </c:numRef>
          </c:val>
          <c:smooth val="0"/>
          <c:extLst>
            <c:ext xmlns:c16="http://schemas.microsoft.com/office/drawing/2014/chart" uri="{C3380CC4-5D6E-409C-BE32-E72D297353CC}">
              <c16:uniqueId val="{00000013-E4BC-4DEC-906A-01EC7C7EAD9B}"/>
            </c:ext>
          </c:extLst>
        </c:ser>
        <c:dLbls>
          <c:showLegendKey val="0"/>
          <c:showVal val="1"/>
          <c:showCatName val="0"/>
          <c:showSerName val="0"/>
          <c:showPercent val="0"/>
          <c:showBubbleSize val="0"/>
        </c:dLbls>
        <c:marker val="1"/>
        <c:smooth val="0"/>
        <c:axId val="577856790"/>
        <c:axId val="212560789"/>
      </c:lineChart>
      <c:catAx>
        <c:axId val="57785679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crossAx val="212560789"/>
        <c:crosses val="autoZero"/>
        <c:auto val="1"/>
        <c:lblAlgn val="ctr"/>
        <c:lblOffset val="100"/>
        <c:noMultiLvlLbl val="0"/>
      </c:catAx>
      <c:valAx>
        <c:axId val="212560789"/>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crossAx val="577856790"/>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
    <c:plotVisOnly val="1"/>
    <c:dispBlanksAs val="gap"/>
    <c:showDLblsOverMax val="0"/>
    <c:extLst>
      <c:ext uri="{0b15fc19-7d7d-44ad-8c2d-2c3a37ce22c3}">
        <chartProps xmlns="https://web.wps.cn/et/2018/main" chartId="{9426632b-8e66-4f7b-b26b-27fbab7e85e1}"/>
      </c:ext>
    </c:extLst>
  </c:chart>
  <c:spPr>
    <a:solidFill>
      <a:schemeClr val="bg1"/>
    </a:solidFill>
    <a:ln w="9525" cap="flat" cmpd="sng" algn="ctr">
      <a:solidFill>
        <a:schemeClr val="tx1"/>
      </a:solidFill>
      <a:round/>
    </a:ln>
    <a:effectLst/>
  </c:spPr>
  <c:txPr>
    <a:bodyPr/>
    <a:lstStyle/>
    <a:p>
      <a:pPr>
        <a:defRPr lang="en-US">
          <a:latin typeface="Lexend" charset="0"/>
          <a:ea typeface="Lexend" charset="0"/>
          <a:cs typeface="Lexend" charset="0"/>
          <a:sym typeface="Lexend"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r>
              <a:rPr lang="en-US">
                <a:latin typeface="Lexend" charset="0"/>
                <a:ea typeface="Lexend" charset="0"/>
                <a:cs typeface="Lexend" charset="0"/>
                <a:sym typeface="Lexend" charset="0"/>
              </a:rPr>
              <a:t>Incumbency Rates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title>
    <c:autoTitleDeleted val="0"/>
    <c:plotArea>
      <c:layout>
        <c:manualLayout>
          <c:layoutTarget val="inner"/>
          <c:xMode val="edge"/>
          <c:yMode val="edge"/>
          <c:x val="7.00785219399538E-2"/>
          <c:y val="0.11431560071727399"/>
          <c:w val="0.89703464203233296"/>
          <c:h val="0.74542737597130904"/>
        </c:manualLayout>
      </c:layout>
      <c:lineChart>
        <c:grouping val="standard"/>
        <c:varyColors val="0"/>
        <c:ser>
          <c:idx val="0"/>
          <c:order val="0"/>
          <c:tx>
            <c:strRef>
              <c:f>'Task 2 Incumbency rate'!$I$15</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7.1224018475750606E-2"/>
                  <c:y val="-1.6437537358039501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DB-40E5-ABAB-6C788B11078C}"/>
                </c:ext>
              </c:extLst>
            </c:dLbl>
            <c:dLbl>
              <c:idx val="1"/>
              <c:layout>
                <c:manualLayout>
                  <c:x val="9.2378752886836005E-4"/>
                  <c:y val="-3.7507471607890003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DB-40E5-ABAB-6C788B11078C}"/>
                </c:ext>
              </c:extLst>
            </c:dLbl>
            <c:dLbl>
              <c:idx val="2"/>
              <c:layout>
                <c:manualLayout>
                  <c:x val="-1.44110854503464E-2"/>
                  <c:y val="-2.495517035265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DB-40E5-ABAB-6C788B11078C}"/>
                </c:ext>
              </c:extLst>
            </c:dLbl>
            <c:dLbl>
              <c:idx val="3"/>
              <c:layout>
                <c:manualLayout>
                  <c:x val="1.9399538106235599E-3"/>
                  <c:y val="-3.10818888224746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DB-40E5-ABAB-6C788B11078C}"/>
                </c:ext>
              </c:extLst>
            </c:dLbl>
            <c:dLbl>
              <c:idx val="4"/>
              <c:layout>
                <c:manualLayout>
                  <c:x val="-9.2378752886836005E-4"/>
                  <c:y val="-3.42199641362821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DB-40E5-ABAB-6C788B11078C}"/>
                </c:ext>
              </c:extLst>
            </c:dLbl>
            <c:dLbl>
              <c:idx val="5"/>
              <c:layout>
                <c:manualLayout>
                  <c:x val="1.9399538106235599E-3"/>
                  <c:y val="-2.34608487746563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DB-40E5-ABAB-6C788B11078C}"/>
                </c:ext>
              </c:extLst>
            </c:dLbl>
            <c:dLbl>
              <c:idx val="6"/>
              <c:layout>
                <c:manualLayout>
                  <c:x val="7.7598152424942302E-3"/>
                  <c:y val="-6.08188882247460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DB-40E5-ABAB-6C788B11078C}"/>
                </c:ext>
              </c:extLst>
            </c:dLbl>
            <c:dLbl>
              <c:idx val="7"/>
              <c:layout>
                <c:manualLayout>
                  <c:x val="0"/>
                  <c:y val="-5.1404662283323403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DB-40E5-ABAB-6C788B11078C}"/>
                </c:ext>
              </c:extLst>
            </c:dLbl>
            <c:dLbl>
              <c:idx val="8"/>
              <c:layout>
                <c:manualLayout>
                  <c:x val="6.7436489607390297E-3"/>
                  <c:y val="-2.03227734608487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DB-40E5-ABAB-6C788B11078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rate'!$J$15:$R$15</c:f>
              <c:numCache>
                <c:formatCode>0.00%</c:formatCode>
                <c:ptCount val="9"/>
                <c:pt idx="0">
                  <c:v>0</c:v>
                </c:pt>
                <c:pt idx="1">
                  <c:v>0.66666666666666696</c:v>
                </c:pt>
                <c:pt idx="2">
                  <c:v>0.92307692307692302</c:v>
                </c:pt>
                <c:pt idx="3">
                  <c:v>1</c:v>
                </c:pt>
                <c:pt idx="4">
                  <c:v>0.92307692307692302</c:v>
                </c:pt>
                <c:pt idx="5">
                  <c:v>1</c:v>
                </c:pt>
                <c:pt idx="6">
                  <c:v>0.69230769230769196</c:v>
                </c:pt>
                <c:pt idx="7">
                  <c:v>0.71428571428571397</c:v>
                </c:pt>
                <c:pt idx="8">
                  <c:v>0.92307692307692302</c:v>
                </c:pt>
              </c:numCache>
            </c:numRef>
          </c:val>
          <c:smooth val="0"/>
          <c:extLst>
            <c:ext xmlns:c16="http://schemas.microsoft.com/office/drawing/2014/chart" uri="{C3380CC4-5D6E-409C-BE32-E72D297353CC}">
              <c16:uniqueId val="{00000009-53DB-40E5-ABAB-6C788B11078C}"/>
            </c:ext>
          </c:extLst>
        </c:ser>
        <c:ser>
          <c:idx val="1"/>
          <c:order val="1"/>
          <c:tx>
            <c:strRef>
              <c:f>'Task 2 Incumbency rate'!$I$16</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3.4734411085450299E-2"/>
                  <c:y val="-6.2761506276150601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3DB-40E5-ABAB-6C788B11078C}"/>
                </c:ext>
              </c:extLst>
            </c:dLbl>
            <c:dLbl>
              <c:idx val="1"/>
              <c:layout>
                <c:manualLayout>
                  <c:x val="2.8914549653579699E-2"/>
                  <c:y val="0.1247758517632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3DB-40E5-ABAB-6C788B11078C}"/>
                </c:ext>
              </c:extLst>
            </c:dLbl>
            <c:dLbl>
              <c:idx val="2"/>
              <c:layout>
                <c:manualLayout>
                  <c:x val="8.6836027713625905E-3"/>
                  <c:y val="0.130902570233114"/>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3DB-40E5-ABAB-6C788B11078C}"/>
                </c:ext>
              </c:extLst>
            </c:dLbl>
            <c:dLbl>
              <c:idx val="3"/>
              <c:layout>
                <c:manualLayout>
                  <c:x val="1.4503464203233301E-2"/>
                  <c:y val="0.123281530185296"/>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3DB-40E5-ABAB-6C788B11078C}"/>
                </c:ext>
              </c:extLst>
            </c:dLbl>
            <c:dLbl>
              <c:idx val="4"/>
              <c:layout>
                <c:manualLayout>
                  <c:x val="1.0623556581986099E-2"/>
                  <c:y val="0.135684399282725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3DB-40E5-ABAB-6C788B11078C}"/>
                </c:ext>
              </c:extLst>
            </c:dLbl>
            <c:dLbl>
              <c:idx val="5"/>
              <c:layout>
                <c:manualLayout>
                  <c:x val="5.8198614318706703E-3"/>
                  <c:y val="0.12163777644949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3DB-40E5-ABAB-6C788B11078C}"/>
                </c:ext>
              </c:extLst>
            </c:dLbl>
            <c:dLbl>
              <c:idx val="6"/>
              <c:layout>
                <c:manualLayout>
                  <c:x val="0"/>
                  <c:y val="0.102958756724447"/>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3DB-40E5-ABAB-6C788B11078C}"/>
                </c:ext>
              </c:extLst>
            </c:dLbl>
            <c:dLbl>
              <c:idx val="7"/>
              <c:layout>
                <c:manualLayout>
                  <c:x val="8.6836027713625905E-3"/>
                  <c:y val="0.149581589958159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3DB-40E5-ABAB-6C788B11078C}"/>
                </c:ext>
              </c:extLst>
            </c:dLbl>
            <c:dLbl>
              <c:idx val="8"/>
              <c:layout>
                <c:manualLayout>
                  <c:x val="1.0531177829099301E-2"/>
                  <c:y val="0.132546323968918"/>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3DB-40E5-ABAB-6C788B11078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rate'!$J$16:$R$16</c:f>
              <c:numCache>
                <c:formatCode>0.00%</c:formatCode>
                <c:ptCount val="9"/>
                <c:pt idx="0">
                  <c:v>0</c:v>
                </c:pt>
                <c:pt idx="1">
                  <c:v>0.57142857142857095</c:v>
                </c:pt>
                <c:pt idx="2">
                  <c:v>0.59375</c:v>
                </c:pt>
                <c:pt idx="3">
                  <c:v>0.51351351351351304</c:v>
                </c:pt>
                <c:pt idx="4">
                  <c:v>0.72972972972973005</c:v>
                </c:pt>
                <c:pt idx="5">
                  <c:v>0.67567567567567599</c:v>
                </c:pt>
                <c:pt idx="6">
                  <c:v>0.60526315789473695</c:v>
                </c:pt>
                <c:pt idx="7">
                  <c:v>0.68571428571428605</c:v>
                </c:pt>
                <c:pt idx="8">
                  <c:v>0.6</c:v>
                </c:pt>
              </c:numCache>
            </c:numRef>
          </c:val>
          <c:smooth val="0"/>
          <c:extLst>
            <c:ext xmlns:c16="http://schemas.microsoft.com/office/drawing/2014/chart" uri="{C3380CC4-5D6E-409C-BE32-E72D297353CC}">
              <c16:uniqueId val="{00000013-53DB-40E5-ABAB-6C788B11078C}"/>
            </c:ext>
          </c:extLst>
        </c:ser>
        <c:ser>
          <c:idx val="2"/>
          <c:order val="2"/>
          <c:tx>
            <c:strRef>
              <c:f>'Task 2 Incumbency rate'!$I$17</c:f>
              <c:strCache>
                <c:ptCount val="1"/>
              </c:strCache>
            </c:strRef>
          </c:tx>
          <c:spPr>
            <a:ln w="28575" cap="rnd">
              <a:solidFill>
                <a:schemeClr val="accent3"/>
              </a:solidFill>
              <a:round/>
            </a:ln>
            <a:effectLst/>
          </c:spPr>
          <c:marker>
            <c:symbol val="none"/>
          </c:marker>
          <c:dLbls>
            <c:delete val="1"/>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rate'!$J$17:$R$17</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14-53DB-40E5-ABAB-6C788B11078C}"/>
            </c:ext>
          </c:extLst>
        </c:ser>
        <c:dLbls>
          <c:showLegendKey val="0"/>
          <c:showVal val="1"/>
          <c:showCatName val="0"/>
          <c:showSerName val="0"/>
          <c:showPercent val="0"/>
          <c:showBubbleSize val="0"/>
        </c:dLbls>
        <c:marker val="1"/>
        <c:smooth val="0"/>
        <c:axId val="81623770"/>
        <c:axId val="751108677"/>
      </c:lineChart>
      <c:catAx>
        <c:axId val="8162377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crossAx val="751108677"/>
        <c:crosses val="autoZero"/>
        <c:auto val="1"/>
        <c:lblAlgn val="ctr"/>
        <c:lblOffset val="100"/>
        <c:noMultiLvlLbl val="0"/>
      </c:catAx>
      <c:valAx>
        <c:axId val="751108677"/>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crossAx val="81623770"/>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2"/>
        <c:delete val="1"/>
      </c:legendEntry>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
    <c:plotVisOnly val="1"/>
    <c:dispBlanksAs val="gap"/>
    <c:showDLblsOverMax val="0"/>
    <c:extLst>
      <c:ext uri="{0b15fc19-7d7d-44ad-8c2d-2c3a37ce22c3}">
        <chartProps xmlns="https://web.wps.cn/et/2018/main" chartId="{ea2a5cc2-79d5-4c67-ba97-89a86c554aa4}"/>
      </c:ext>
    </c:extLst>
  </c:chart>
  <c:spPr>
    <a:solidFill>
      <a:schemeClr val="bg1"/>
    </a:solidFill>
    <a:ln w="9525" cap="flat" cmpd="sng" algn="ctr">
      <a:solidFill>
        <a:schemeClr val="tx1">
          <a:lumMod val="15000"/>
          <a:lumOff val="85000"/>
        </a:schemeClr>
      </a:solidFill>
      <a:round/>
    </a:ln>
    <a:effectLst/>
  </c:spPr>
  <c:txPr>
    <a:bodyPr/>
    <a:lstStyle/>
    <a:p>
      <a:pPr>
        <a:defRPr lang="en-US">
          <a:latin typeface="Lexend" charset="0"/>
          <a:ea typeface="Lexend" charset="0"/>
          <a:cs typeface="Lexend" charset="0"/>
          <a:sym typeface="Lexend"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Whole White Milk</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44203849518799"/>
          <c:y val="7.9120370370370396E-2"/>
          <c:w val="0.85855796150481201"/>
          <c:h val="0.61498432487605703"/>
        </c:manualLayout>
      </c:layout>
      <c:lineChart>
        <c:grouping val="standard"/>
        <c:varyColors val="0"/>
        <c:ser>
          <c:idx val="0"/>
          <c:order val="0"/>
          <c:tx>
            <c:v>Tri-county</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1.22737035900583E-3"/>
                  <c:y val="-1.38010350776308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AE-4767-9601-90ED1072AEE0}"/>
                </c:ext>
              </c:extLst>
            </c:dLbl>
            <c:dLbl>
              <c:idx val="1"/>
              <c:layout>
                <c:manualLayout>
                  <c:x val="-3.6821110770174901E-3"/>
                  <c:y val="0.112708453133985"/>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AE-4767-9601-90ED1072AEE0}"/>
                </c:ext>
              </c:extLst>
            </c:dLbl>
            <c:dLbl>
              <c:idx val="2"/>
              <c:layout>
                <c:manualLayout>
                  <c:x val="-2.4547407180116601E-3"/>
                  <c:y val="0.124209315698677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AE-4767-9601-90ED1072AEE0}"/>
                </c:ext>
              </c:extLst>
            </c:dLbl>
            <c:dLbl>
              <c:idx val="3"/>
              <c:layout>
                <c:manualLayout>
                  <c:x val="-2.4547407180116601E-3"/>
                  <c:y val="0.110408280621047"/>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AE-4767-9601-90ED1072AEE0}"/>
                </c:ext>
              </c:extLst>
            </c:dLbl>
            <c:dLbl>
              <c:idx val="4"/>
              <c:layout>
                <c:manualLayout>
                  <c:x val="-1.22737035900583E-3"/>
                  <c:y val="0.121909143185739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AE-4767-9601-90ED1072AEE0}"/>
                </c:ext>
              </c:extLst>
            </c:dLbl>
            <c:dLbl>
              <c:idx val="5"/>
              <c:layout>
                <c:manualLayout>
                  <c:x val="7.3642221540349802E-3"/>
                  <c:y val="0.110408280621047"/>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AE-4767-9601-90ED1072AEE0}"/>
                </c:ext>
              </c:extLst>
            </c:dLbl>
            <c:dLbl>
              <c:idx val="6"/>
              <c:layout>
                <c:manualLayout>
                  <c:x val="-1.22737035900583E-3"/>
                  <c:y val="-1.38010350776308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AE-4767-9601-90ED1072AEE0}"/>
                </c:ext>
              </c:extLst>
            </c:dLbl>
            <c:dLbl>
              <c:idx val="7"/>
              <c:layout>
                <c:manualLayout>
                  <c:x val="-2.4547407180116601E-3"/>
                  <c:y val="0.108108108108108"/>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FAE-4767-9601-90ED1072AEE0}"/>
                </c:ext>
              </c:extLst>
            </c:dLbl>
            <c:dLbl>
              <c:idx val="8"/>
              <c:layout>
                <c:manualLayout>
                  <c:x val="0"/>
                  <c:y val="0.124209315698677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FAE-4767-9601-90ED1072AEE0}"/>
                </c:ext>
              </c:extLst>
            </c:dLbl>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Pric'!$J$3:$R$3</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Pric'!$J$4:$R$4</c:f>
              <c:numCache>
                <c:formatCode>0.0000</c:formatCode>
                <c:ptCount val="9"/>
                <c:pt idx="0">
                  <c:v>1.4247904329331155E-2</c:v>
                </c:pt>
                <c:pt idx="1">
                  <c:v>4.7487132760125382E-3</c:v>
                </c:pt>
                <c:pt idx="2">
                  <c:v>5.3426585142604737E-3</c:v>
                </c:pt>
                <c:pt idx="3">
                  <c:v>4.4284559636765253E-3</c:v>
                </c:pt>
                <c:pt idx="4">
                  <c:v>5.27195984488317E-3</c:v>
                </c:pt>
                <c:pt idx="5">
                  <c:v>4.9909008113857428E-3</c:v>
                </c:pt>
                <c:pt idx="6">
                  <c:v>9.4499118161670368E-3</c:v>
                </c:pt>
                <c:pt idx="7">
                  <c:v>4.0729722027166553E-3</c:v>
                </c:pt>
                <c:pt idx="8">
                  <c:v>4.5816943456458365E-3</c:v>
                </c:pt>
              </c:numCache>
            </c:numRef>
          </c:val>
          <c:smooth val="0"/>
          <c:extLst>
            <c:ext xmlns:c16="http://schemas.microsoft.com/office/drawing/2014/chart" uri="{C3380CC4-5D6E-409C-BE32-E72D297353CC}">
              <c16:uniqueId val="{00000009-DFAE-4767-9601-90ED1072AEE0}"/>
            </c:ext>
          </c:extLst>
        </c:ser>
        <c:ser>
          <c:idx val="1"/>
          <c:order val="1"/>
          <c:tx>
            <c:v>Surround</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1.7183185026081599E-2"/>
                  <c:y val="0.142610695802184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FAE-4767-9601-90ED1072AEE0}"/>
                </c:ext>
              </c:extLst>
            </c:dLbl>
            <c:dLbl>
              <c:idx val="1"/>
              <c:layout>
                <c:manualLayout>
                  <c:x val="-2.4547407180116601E-3"/>
                  <c:y val="-1.61012075905693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FAE-4767-9601-90ED1072AEE0}"/>
                </c:ext>
              </c:extLst>
            </c:dLbl>
            <c:dLbl>
              <c:idx val="2"/>
              <c:layout>
                <c:manualLayout>
                  <c:x val="-6.1368517950291497E-3"/>
                  <c:y val="-1.15008625646923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FAE-4767-9601-90ED1072AEE0}"/>
                </c:ext>
              </c:extLst>
            </c:dLbl>
            <c:dLbl>
              <c:idx val="3"/>
              <c:layout>
                <c:manualLayout>
                  <c:x val="3.6821110770174901E-3"/>
                  <c:y val="-2.53018976423231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FAE-4767-9601-90ED1072AEE0}"/>
                </c:ext>
              </c:extLst>
            </c:dLbl>
            <c:dLbl>
              <c:idx val="6"/>
              <c:layout>
                <c:manualLayout>
                  <c:x val="0"/>
                  <c:y val="0.121909143185739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FAE-4767-9601-90ED1072AEE0}"/>
                </c:ext>
              </c:extLst>
            </c:dLbl>
            <c:dLbl>
              <c:idx val="7"/>
              <c:layout>
                <c:manualLayout>
                  <c:x val="0"/>
                  <c:y val="-6.9005175388154099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FAE-4767-9601-90ED1072AEE0}"/>
                </c:ext>
              </c:extLst>
            </c:dLbl>
            <c:dLbl>
              <c:idx val="8"/>
              <c:layout>
                <c:manualLayout>
                  <c:x val="4.9094814360233201E-3"/>
                  <c:y val="-1.15008625646923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FAE-4767-9601-90ED1072AEE0}"/>
                </c:ext>
              </c:extLst>
            </c:dLbl>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Pric'!$J$3:$R$3</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Pric'!$J$5:$R$5</c:f>
              <c:numCache>
                <c:formatCode>0.0000</c:formatCode>
                <c:ptCount val="9"/>
                <c:pt idx="0">
                  <c:v>1.4261220532170093E-2</c:v>
                </c:pt>
                <c:pt idx="1">
                  <c:v>1.3741888595258633E-2</c:v>
                </c:pt>
                <c:pt idx="2">
                  <c:v>1.3218099479356015E-2</c:v>
                </c:pt>
                <c:pt idx="3">
                  <c:v>1.0986653404485965E-2</c:v>
                </c:pt>
                <c:pt idx="4">
                  <c:v>1.0260775598024543E-2</c:v>
                </c:pt>
                <c:pt idx="5">
                  <c:v>1.1354490056556678E-2</c:v>
                </c:pt>
                <c:pt idx="6">
                  <c:v>7.5165800612993685E-3</c:v>
                </c:pt>
                <c:pt idx="7">
                  <c:v>7.9465937949020956E-3</c:v>
                </c:pt>
                <c:pt idx="8">
                  <c:v>6.5201226982319919E-3</c:v>
                </c:pt>
              </c:numCache>
            </c:numRef>
          </c:val>
          <c:smooth val="0"/>
          <c:extLst>
            <c:ext xmlns:c16="http://schemas.microsoft.com/office/drawing/2014/chart" uri="{C3380CC4-5D6E-409C-BE32-E72D297353CC}">
              <c16:uniqueId val="{00000011-DFAE-4767-9601-90ED1072AEE0}"/>
            </c:ext>
          </c:extLst>
        </c:ser>
        <c:dLbls>
          <c:showLegendKey val="0"/>
          <c:showVal val="1"/>
          <c:showCatName val="0"/>
          <c:showSerName val="0"/>
          <c:showPercent val="0"/>
          <c:showBubbleSize val="0"/>
        </c:dLbls>
        <c:marker val="1"/>
        <c:smooth val="0"/>
        <c:axId val="736461792"/>
        <c:axId val="736463104"/>
      </c:lineChart>
      <c:catAx>
        <c:axId val="7364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36463104"/>
        <c:crosses val="autoZero"/>
        <c:auto val="1"/>
        <c:lblAlgn val="ctr"/>
        <c:lblOffset val="100"/>
        <c:noMultiLvlLbl val="0"/>
      </c:catAx>
      <c:valAx>
        <c:axId val="73646310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36461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a915dbf-7711-4a98-ba1e-1c4071ba66a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Low-Fat White Milk</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'Task3_4 Dispersion&amp;Average Pric'!$I$10</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1.2282497441146401E-2"/>
                  <c:y val="0.1161951775204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C4-46DC-816B-422B6A58DD38}"/>
                </c:ext>
              </c:extLst>
            </c:dLbl>
            <c:dLbl>
              <c:idx val="1"/>
              <c:layout>
                <c:manualLayout>
                  <c:x val="1.22824974411464E-3"/>
                  <c:y val="0.125308524776913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C4-46DC-816B-422B6A58DD38}"/>
                </c:ext>
              </c:extLst>
            </c:dLbl>
            <c:dLbl>
              <c:idx val="2"/>
              <c:layout>
                <c:manualLayout>
                  <c:x val="1.22824974411464E-3"/>
                  <c:y val="0.120751851148660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C4-46DC-816B-422B6A58DD38}"/>
                </c:ext>
              </c:extLst>
            </c:dLbl>
            <c:dLbl>
              <c:idx val="3"/>
              <c:layout>
                <c:manualLayout>
                  <c:x val="3.6847492323439099E-3"/>
                  <c:y val="0.1161951775204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C4-46DC-816B-422B6A58DD38}"/>
                </c:ext>
              </c:extLst>
            </c:dLbl>
            <c:dLbl>
              <c:idx val="4"/>
              <c:layout>
                <c:manualLayout>
                  <c:x val="2.45649948822927E-3"/>
                  <c:y val="0.113916840706283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C4-46DC-816B-422B6A58DD38}"/>
                </c:ext>
              </c:extLst>
            </c:dLbl>
            <c:dLbl>
              <c:idx val="5"/>
              <c:layout>
                <c:manualLayout>
                  <c:x val="0"/>
                  <c:y val="0.125308524776913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C4-46DC-816B-422B6A58DD38}"/>
                </c:ext>
              </c:extLst>
            </c:dLbl>
            <c:dLbl>
              <c:idx val="6"/>
              <c:layout>
                <c:manualLayout>
                  <c:x val="0"/>
                  <c:y val="-1.3670020884754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C4-46DC-816B-422B6A58DD38}"/>
                </c:ext>
              </c:extLst>
            </c:dLbl>
            <c:dLbl>
              <c:idx val="7"/>
              <c:layout>
                <c:manualLayout>
                  <c:x val="-2.45649948822927E-3"/>
                  <c:y val="0.107081830263907"/>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C4-46DC-816B-422B6A58DD38}"/>
                </c:ext>
              </c:extLst>
            </c:dLbl>
            <c:dLbl>
              <c:idx val="8"/>
              <c:layout>
                <c:manualLayout>
                  <c:x val="0"/>
                  <c:y val="0.10480349344978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C4-46DC-816B-422B6A58DD38}"/>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Pric'!$J$9:$R$9</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Pric'!$J$10:$R$10</c:f>
              <c:numCache>
                <c:formatCode>0.0000</c:formatCode>
                <c:ptCount val="9"/>
                <c:pt idx="0">
                  <c:v>1.2225450354225937E-2</c:v>
                </c:pt>
                <c:pt idx="1">
                  <c:v>6.3571660829382596E-3</c:v>
                </c:pt>
                <c:pt idx="2">
                  <c:v>5.3744528642219501E-3</c:v>
                </c:pt>
                <c:pt idx="3">
                  <c:v>5.3320511279215197E-3</c:v>
                </c:pt>
                <c:pt idx="4">
                  <c:v>7.0173776970881103E-3</c:v>
                </c:pt>
                <c:pt idx="5">
                  <c:v>6.1801896079120098E-3</c:v>
                </c:pt>
                <c:pt idx="6">
                  <c:v>8.2835022941030404E-3</c:v>
                </c:pt>
                <c:pt idx="7">
                  <c:v>6.1523559322005702E-3</c:v>
                </c:pt>
                <c:pt idx="8">
                  <c:v>5.8576807904173302E-3</c:v>
                </c:pt>
              </c:numCache>
            </c:numRef>
          </c:val>
          <c:smooth val="0"/>
          <c:extLst>
            <c:ext xmlns:c16="http://schemas.microsoft.com/office/drawing/2014/chart" uri="{C3380CC4-5D6E-409C-BE32-E72D297353CC}">
              <c16:uniqueId val="{00000009-E7C4-46DC-816B-422B6A58DD38}"/>
            </c:ext>
          </c:extLst>
        </c:ser>
        <c:ser>
          <c:idx val="1"/>
          <c:order val="1"/>
          <c:tx>
            <c:strRef>
              <c:f>'Task3_4 Dispersion&amp;Average Pric'!$I$11</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1.22824974411464E-3"/>
                  <c:y val="-6.835010442377060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7C4-46DC-816B-422B6A58DD38}"/>
                </c:ext>
              </c:extLst>
            </c:dLbl>
            <c:dLbl>
              <c:idx val="1"/>
              <c:layout>
                <c:manualLayout>
                  <c:x val="0"/>
                  <c:y val="-1.3670020884754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7C4-46DC-816B-422B6A58DD38}"/>
                </c:ext>
              </c:extLst>
            </c:dLbl>
            <c:dLbl>
              <c:idx val="2"/>
              <c:layout>
                <c:manualLayout>
                  <c:x val="0"/>
                  <c:y val="-1.3670020884754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7C4-46DC-816B-422B6A58DD38}"/>
                </c:ext>
              </c:extLst>
            </c:dLbl>
            <c:dLbl>
              <c:idx val="3"/>
              <c:layout>
                <c:manualLayout>
                  <c:x val="0"/>
                  <c:y val="-2.05050313271312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7C4-46DC-816B-422B6A58DD38}"/>
                </c:ext>
              </c:extLst>
            </c:dLbl>
            <c:dLbl>
              <c:idx val="4"/>
              <c:layout>
                <c:manualLayout>
                  <c:x val="-2.45649948822927E-3"/>
                  <c:y val="-1.3670020884754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7C4-46DC-816B-422B6A58DD38}"/>
                </c:ext>
              </c:extLst>
            </c:dLbl>
            <c:dLbl>
              <c:idx val="5"/>
              <c:layout>
                <c:manualLayout>
                  <c:x val="1.22824974411464E-3"/>
                  <c:y val="-1.3670020884754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7C4-46DC-816B-422B6A58DD38}"/>
                </c:ext>
              </c:extLst>
            </c:dLbl>
            <c:dLbl>
              <c:idx val="6"/>
              <c:layout>
                <c:manualLayout>
                  <c:x val="-2.45649948822927E-3"/>
                  <c:y val="0.1161951775204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7C4-46DC-816B-422B6A58DD38}"/>
                </c:ext>
              </c:extLst>
            </c:dLbl>
            <c:dLbl>
              <c:idx val="7"/>
              <c:layout>
                <c:manualLayout>
                  <c:x val="2.45649948822927E-3"/>
                  <c:y val="-9.1133472565027504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7C4-46DC-816B-422B6A58DD38}"/>
                </c:ext>
              </c:extLst>
            </c:dLbl>
            <c:dLbl>
              <c:idx val="8"/>
              <c:layout>
                <c:manualLayout>
                  <c:x val="0"/>
                  <c:y val="-1.59483576988798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7C4-46DC-816B-422B6A58DD38}"/>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Pric'!$J$9:$R$9</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Pric'!$J$11:$R$11</c:f>
              <c:numCache>
                <c:formatCode>0.0000</c:formatCode>
                <c:ptCount val="9"/>
                <c:pt idx="0">
                  <c:v>1.6403651016364099E-2</c:v>
                </c:pt>
                <c:pt idx="1">
                  <c:v>1.46985922926182E-2</c:v>
                </c:pt>
                <c:pt idx="2">
                  <c:v>1.4522454161636901E-2</c:v>
                </c:pt>
                <c:pt idx="3">
                  <c:v>1.18064007421758E-2</c:v>
                </c:pt>
                <c:pt idx="4">
                  <c:v>1.23510030892606E-2</c:v>
                </c:pt>
                <c:pt idx="5">
                  <c:v>1.28552150748964E-2</c:v>
                </c:pt>
                <c:pt idx="6">
                  <c:v>6.5595126609532799E-3</c:v>
                </c:pt>
                <c:pt idx="7">
                  <c:v>9.5452412759470303E-3</c:v>
                </c:pt>
                <c:pt idx="8">
                  <c:v>7.1848451618667401E-3</c:v>
                </c:pt>
              </c:numCache>
            </c:numRef>
          </c:val>
          <c:smooth val="0"/>
          <c:extLst>
            <c:ext xmlns:c16="http://schemas.microsoft.com/office/drawing/2014/chart" uri="{C3380CC4-5D6E-409C-BE32-E72D297353CC}">
              <c16:uniqueId val="{00000013-E7C4-46DC-816B-422B6A58DD38}"/>
            </c:ext>
          </c:extLst>
        </c:ser>
        <c:dLbls>
          <c:showLegendKey val="0"/>
          <c:showVal val="1"/>
          <c:showCatName val="0"/>
          <c:showSerName val="0"/>
          <c:showPercent val="0"/>
          <c:showBubbleSize val="0"/>
        </c:dLbls>
        <c:marker val="1"/>
        <c:smooth val="0"/>
        <c:axId val="982863348"/>
        <c:axId val="499904110"/>
      </c:lineChart>
      <c:catAx>
        <c:axId val="9828633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99904110"/>
        <c:crosses val="autoZero"/>
        <c:auto val="1"/>
        <c:lblAlgn val="ctr"/>
        <c:lblOffset val="100"/>
        <c:noMultiLvlLbl val="0"/>
      </c:catAx>
      <c:valAx>
        <c:axId val="499904110"/>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82863348"/>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7800037-4575-4c0b-ac79-0fac15816b5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Low-Fat Chocolate Milk</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'Task3_4 Dispersion&amp;Average Pric'!$I$16</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4504798856442699E-3"/>
                  <c:y val="-6.86760778328881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12-4D53-AF4F-14EAF3159DE6}"/>
                </c:ext>
              </c:extLst>
            </c:dLbl>
            <c:dLbl>
              <c:idx val="1"/>
              <c:layout>
                <c:manualLayout>
                  <c:x val="0"/>
                  <c:y val="-1.37352155665775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12-4D53-AF4F-14EAF3159DE6}"/>
                </c:ext>
              </c:extLst>
            </c:dLbl>
            <c:dLbl>
              <c:idx val="2"/>
              <c:layout>
                <c:manualLayout>
                  <c:x val="0"/>
                  <c:y val="-6.86760778328881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12-4D53-AF4F-14EAF3159DE6}"/>
                </c:ext>
              </c:extLst>
            </c:dLbl>
            <c:dLbl>
              <c:idx val="3"/>
              <c:layout>
                <c:manualLayout>
                  <c:x val="0"/>
                  <c:y val="-1.8313620755436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12-4D53-AF4F-14EAF3159DE6}"/>
                </c:ext>
              </c:extLst>
            </c:dLbl>
            <c:dLbl>
              <c:idx val="4"/>
              <c:layout>
                <c:manualLayout>
                  <c:x val="1.22523994282214E-3"/>
                  <c:y val="-6.86760778328881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12-4D53-AF4F-14EAF3159DE6}"/>
                </c:ext>
              </c:extLst>
            </c:dLbl>
            <c:dLbl>
              <c:idx val="5"/>
              <c:layout>
                <c:manualLayout>
                  <c:x val="-2.4504798856442699E-3"/>
                  <c:y val="-2.2892025944296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12-4D53-AF4F-14EAF3159DE6}"/>
                </c:ext>
              </c:extLst>
            </c:dLbl>
            <c:dLbl>
              <c:idx val="6"/>
              <c:layout>
                <c:manualLayout>
                  <c:x val="-3.6757198284664101E-3"/>
                  <c:y val="-4.578405188859210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12-4D53-AF4F-14EAF3159DE6}"/>
                </c:ext>
              </c:extLst>
            </c:dLbl>
            <c:dLbl>
              <c:idx val="7"/>
              <c:layout>
                <c:manualLayout>
                  <c:x val="-2.4504798856442699E-3"/>
                  <c:y val="0.114460129721479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12-4D53-AF4F-14EAF3159DE6}"/>
                </c:ext>
              </c:extLst>
            </c:dLbl>
            <c:dLbl>
              <c:idx val="8"/>
              <c:layout>
                <c:manualLayout>
                  <c:x val="2.4504798856442699E-3"/>
                  <c:y val="0.128195345288058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12-4D53-AF4F-14EAF3159DE6}"/>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Pric'!$J$15:$R$15</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Pric'!$J$16:$R$16</c:f>
              <c:numCache>
                <c:formatCode>0.0000</c:formatCode>
                <c:ptCount val="9"/>
                <c:pt idx="0">
                  <c:v>3.9474042103640698E-3</c:v>
                </c:pt>
                <c:pt idx="1">
                  <c:v>7.7852210416061197E-3</c:v>
                </c:pt>
                <c:pt idx="2">
                  <c:v>6.2191371320036602E-3</c:v>
                </c:pt>
                <c:pt idx="3">
                  <c:v>5.2113018207225999E-3</c:v>
                </c:pt>
                <c:pt idx="4">
                  <c:v>6.3292593413071504E-3</c:v>
                </c:pt>
                <c:pt idx="5">
                  <c:v>4.25532346335478E-3</c:v>
                </c:pt>
                <c:pt idx="6">
                  <c:v>9.3292252864021E-3</c:v>
                </c:pt>
                <c:pt idx="7">
                  <c:v>4.8055838733328101E-3</c:v>
                </c:pt>
                <c:pt idx="8">
                  <c:v>6.5029363996722102E-3</c:v>
                </c:pt>
              </c:numCache>
            </c:numRef>
          </c:val>
          <c:smooth val="0"/>
          <c:extLst>
            <c:ext xmlns:c16="http://schemas.microsoft.com/office/drawing/2014/chart" uri="{C3380CC4-5D6E-409C-BE32-E72D297353CC}">
              <c16:uniqueId val="{00000009-BA12-4D53-AF4F-14EAF3159DE6}"/>
            </c:ext>
          </c:extLst>
        </c:ser>
        <c:ser>
          <c:idx val="1"/>
          <c:order val="1"/>
          <c:tx>
            <c:strRef>
              <c:f>'Task3_4 Dispersion&amp;Average Pric'!$I$17</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6.86760778328881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A12-4D53-AF4F-14EAF3159DE6}"/>
                </c:ext>
              </c:extLst>
            </c:dLbl>
            <c:dLbl>
              <c:idx val="1"/>
              <c:layout>
                <c:manualLayout>
                  <c:x val="0"/>
                  <c:y val="-1.37352155665775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12-4D53-AF4F-14EAF3159DE6}"/>
                </c:ext>
              </c:extLst>
            </c:dLbl>
            <c:dLbl>
              <c:idx val="2"/>
              <c:layout>
                <c:manualLayout>
                  <c:x val="0"/>
                  <c:y val="-1.60244181610071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A12-4D53-AF4F-14EAF3159DE6}"/>
                </c:ext>
              </c:extLst>
            </c:dLbl>
            <c:dLbl>
              <c:idx val="3"/>
              <c:layout>
                <c:manualLayout>
                  <c:x val="0"/>
                  <c:y val="-1.8313620755436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12-4D53-AF4F-14EAF3159DE6}"/>
                </c:ext>
              </c:extLst>
            </c:dLbl>
            <c:dLbl>
              <c:idx val="4"/>
              <c:layout>
                <c:manualLayout>
                  <c:x val="1.22523994282214E-3"/>
                  <c:y val="-9.1568103777184308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A12-4D53-AF4F-14EAF3159DE6}"/>
                </c:ext>
              </c:extLst>
            </c:dLbl>
            <c:dLbl>
              <c:idx val="5"/>
              <c:layout>
                <c:manualLayout>
                  <c:x val="1.22523994282214E-3"/>
                  <c:y val="-4.578405188859210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A12-4D53-AF4F-14EAF3159DE6}"/>
                </c:ext>
              </c:extLst>
            </c:dLbl>
            <c:dLbl>
              <c:idx val="6"/>
              <c:layout>
                <c:manualLayout>
                  <c:x val="4.9009597712885399E-3"/>
                  <c:y val="0.132773750476917"/>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A12-4D53-AF4F-14EAF3159DE6}"/>
                </c:ext>
              </c:extLst>
            </c:dLbl>
            <c:dLbl>
              <c:idx val="7"/>
              <c:layout>
                <c:manualLayout>
                  <c:x val="0"/>
                  <c:y val="-2.2892025944296099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A12-4D53-AF4F-14EAF3159DE6}"/>
                </c:ext>
              </c:extLst>
            </c:dLbl>
            <c:dLbl>
              <c:idx val="8"/>
              <c:layout>
                <c:manualLayout>
                  <c:x val="0"/>
                  <c:y val="-1.8313620755436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A12-4D53-AF4F-14EAF3159DE6}"/>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Pric'!$J$15:$R$15</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Pric'!$J$17:$R$17</c:f>
              <c:numCache>
                <c:formatCode>0.0000</c:formatCode>
                <c:ptCount val="9"/>
                <c:pt idx="0">
                  <c:v>1.6615045390649001E-2</c:v>
                </c:pt>
                <c:pt idx="1">
                  <c:v>1.5301560922555101E-2</c:v>
                </c:pt>
                <c:pt idx="2">
                  <c:v>1.5755870242228801E-2</c:v>
                </c:pt>
                <c:pt idx="3">
                  <c:v>1.27935676936324E-2</c:v>
                </c:pt>
                <c:pt idx="4">
                  <c:v>1.2805069370655699E-2</c:v>
                </c:pt>
                <c:pt idx="5">
                  <c:v>1.35999883286594E-2</c:v>
                </c:pt>
                <c:pt idx="6">
                  <c:v>7.7020560025662403E-3</c:v>
                </c:pt>
                <c:pt idx="7">
                  <c:v>9.9329780544559296E-3</c:v>
                </c:pt>
                <c:pt idx="8">
                  <c:v>9.9101967689849604E-3</c:v>
                </c:pt>
              </c:numCache>
            </c:numRef>
          </c:val>
          <c:smooth val="0"/>
          <c:extLst>
            <c:ext xmlns:c16="http://schemas.microsoft.com/office/drawing/2014/chart" uri="{C3380CC4-5D6E-409C-BE32-E72D297353CC}">
              <c16:uniqueId val="{00000013-BA12-4D53-AF4F-14EAF3159DE6}"/>
            </c:ext>
          </c:extLst>
        </c:ser>
        <c:dLbls>
          <c:showLegendKey val="0"/>
          <c:showVal val="1"/>
          <c:showCatName val="0"/>
          <c:showSerName val="0"/>
          <c:showPercent val="0"/>
          <c:showBubbleSize val="0"/>
        </c:dLbls>
        <c:marker val="1"/>
        <c:smooth val="0"/>
        <c:axId val="629727412"/>
        <c:axId val="798899572"/>
      </c:lineChart>
      <c:catAx>
        <c:axId val="629727412"/>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98899572"/>
        <c:crosses val="autoZero"/>
        <c:auto val="1"/>
        <c:lblAlgn val="ctr"/>
        <c:lblOffset val="100"/>
        <c:noMultiLvlLbl val="0"/>
      </c:catAx>
      <c:valAx>
        <c:axId val="798899572"/>
        <c:scaling>
          <c:orientation val="minMax"/>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9727412"/>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77e7dcd-b75c-4113-bc16-427135b8885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Average winning price of Low-fat white milk</a:t>
            </a:r>
          </a:p>
        </c:rich>
      </c:tx>
      <c:layout>
        <c:manualLayout>
          <c:xMode val="edge"/>
          <c:yMode val="edge"/>
          <c:x val="0.165065789473684"/>
          <c:y val="3.8888888888888903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'Task3_4 Dispersion&amp;Average Pric'!$I$31</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4.5901639344262304E-3"/>
                  <c:y val="0.10559234731420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5D-41C2-B496-B912F256B13C}"/>
                </c:ext>
              </c:extLst>
            </c:dLbl>
            <c:dLbl>
              <c:idx val="1"/>
              <c:layout>
                <c:manualLayout>
                  <c:x val="1.0928961748633899E-3"/>
                  <c:y val="-3.45842531272995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5D-41C2-B496-B912F256B13C}"/>
                </c:ext>
              </c:extLst>
            </c:dLbl>
            <c:dLbl>
              <c:idx val="2"/>
              <c:layout>
                <c:manualLayout>
                  <c:x val="5.6830601092896201E-3"/>
                  <c:y val="-2.70419426048565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5D-41C2-B496-B912F256B13C}"/>
                </c:ext>
              </c:extLst>
            </c:dLbl>
            <c:dLbl>
              <c:idx val="3"/>
              <c:layout>
                <c:manualLayout>
                  <c:x val="0"/>
                  <c:y val="-2.11552612214864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5D-41C2-B496-B912F256B13C}"/>
                </c:ext>
              </c:extLst>
            </c:dLbl>
            <c:dLbl>
              <c:idx val="4"/>
              <c:layout>
                <c:manualLayout>
                  <c:x val="2.29508196721311E-3"/>
                  <c:y val="-2.09713024282561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5D-41C2-B496-B912F256B13C}"/>
                </c:ext>
              </c:extLst>
            </c:dLbl>
            <c:dLbl>
              <c:idx val="5"/>
              <c:layout>
                <c:manualLayout>
                  <c:x val="0"/>
                  <c:y val="-7.72626931567328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5D-41C2-B496-B912F256B13C}"/>
                </c:ext>
              </c:extLst>
            </c:dLbl>
            <c:dLbl>
              <c:idx val="6"/>
              <c:layout>
                <c:manualLayout>
                  <c:x val="2.1857923497267799E-3"/>
                  <c:y val="-3.64238410596025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5D-41C2-B496-B912F256B13C}"/>
                </c:ext>
              </c:extLst>
            </c:dLbl>
            <c:dLbl>
              <c:idx val="7"/>
              <c:layout>
                <c:manualLayout>
                  <c:x val="0"/>
                  <c:y val="-7.7262693156732801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5D-41C2-B496-B912F256B13C}"/>
                </c:ext>
              </c:extLst>
            </c:dLbl>
            <c:dLbl>
              <c:idx val="8"/>
              <c:layout>
                <c:manualLayout>
                  <c:x val="3.3879781420765001E-3"/>
                  <c:y val="-2.29948491537896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5D-41C2-B496-B912F256B13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Pric'!$J$30:$R$30</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Pric'!$J$31:$R$31</c:f>
              <c:numCache>
                <c:formatCode>0.0000</c:formatCode>
                <c:ptCount val="9"/>
                <c:pt idx="0">
                  <c:v>0.11211818181818201</c:v>
                </c:pt>
                <c:pt idx="1">
                  <c:v>0.133841666666667</c:v>
                </c:pt>
                <c:pt idx="2">
                  <c:v>0.136584615384615</c:v>
                </c:pt>
                <c:pt idx="3">
                  <c:v>0.13909230769230799</c:v>
                </c:pt>
                <c:pt idx="4">
                  <c:v>0.14242307692307701</c:v>
                </c:pt>
                <c:pt idx="5">
                  <c:v>0.14481538461538501</c:v>
                </c:pt>
                <c:pt idx="6">
                  <c:v>0.124015384615385</c:v>
                </c:pt>
                <c:pt idx="7">
                  <c:v>0.15599285714285699</c:v>
                </c:pt>
                <c:pt idx="8">
                  <c:v>0.13538333333333299</c:v>
                </c:pt>
              </c:numCache>
            </c:numRef>
          </c:val>
          <c:smooth val="0"/>
          <c:extLst>
            <c:ext xmlns:c16="http://schemas.microsoft.com/office/drawing/2014/chart" uri="{C3380CC4-5D6E-409C-BE32-E72D297353CC}">
              <c16:uniqueId val="{00000009-835D-41C2-B496-B912F256B13C}"/>
            </c:ext>
          </c:extLst>
        </c:ser>
        <c:ser>
          <c:idx val="1"/>
          <c:order val="1"/>
          <c:tx>
            <c:strRef>
              <c:f>'Task3_4 Dispersion&amp;Average Pric'!$I$32</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2.29508196721311E-3"/>
                  <c:y val="-7.7262693156732896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35D-41C2-B496-B912F256B13C}"/>
                </c:ext>
              </c:extLst>
            </c:dLbl>
            <c:dLbl>
              <c:idx val="1"/>
              <c:layout>
                <c:manualLayout>
                  <c:x val="-1.0928961748633899E-3"/>
                  <c:y val="0.103568800588668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35D-41C2-B496-B912F256B13C}"/>
                </c:ext>
              </c:extLst>
            </c:dLbl>
            <c:dLbl>
              <c:idx val="2"/>
              <c:layout>
                <c:manualLayout>
                  <c:x val="-1.3114754098360699E-3"/>
                  <c:y val="0.151582045621780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35D-41C2-B496-B912F256B13C}"/>
                </c:ext>
              </c:extLst>
            </c:dLbl>
            <c:dLbl>
              <c:idx val="3"/>
              <c:layout>
                <c:manualLayout>
                  <c:x val="-2.1857923497267799E-3"/>
                  <c:y val="0.103936718175129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35D-41C2-B496-B912F256B13C}"/>
                </c:ext>
              </c:extLst>
            </c:dLbl>
            <c:dLbl>
              <c:idx val="4"/>
              <c:layout>
                <c:manualLayout>
                  <c:x val="-4.4808743169398903E-3"/>
                  <c:y val="0.122884473877850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35D-41C2-B496-B912F256B13C}"/>
                </c:ext>
              </c:extLst>
            </c:dLbl>
            <c:dLbl>
              <c:idx val="5"/>
              <c:layout>
                <c:manualLayout>
                  <c:x val="-3.4972677595628398E-3"/>
                  <c:y val="0.113318616629875"/>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35D-41C2-B496-B912F256B13C}"/>
                </c:ext>
              </c:extLst>
            </c:dLbl>
            <c:dLbl>
              <c:idx val="6"/>
              <c:layout>
                <c:manualLayout>
                  <c:x val="2.1857923497267799E-3"/>
                  <c:y val="0.119021339220015"/>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35D-41C2-B496-B912F256B13C}"/>
                </c:ext>
              </c:extLst>
            </c:dLbl>
            <c:dLbl>
              <c:idx val="7"/>
              <c:layout>
                <c:manualLayout>
                  <c:x val="7.9781420765027301E-3"/>
                  <c:y val="0.159492273730684"/>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35D-41C2-B496-B912F256B13C}"/>
                </c:ext>
              </c:extLst>
            </c:dLbl>
            <c:dLbl>
              <c:idx val="8"/>
              <c:layout>
                <c:manualLayout>
                  <c:x val="2.29508196721311E-3"/>
                  <c:y val="0.132450331125827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35D-41C2-B496-B912F256B13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Pric'!$J$30:$R$30</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Pric'!$J$32:$R$32</c:f>
              <c:numCache>
                <c:formatCode>0.0000</c:formatCode>
                <c:ptCount val="9"/>
                <c:pt idx="0">
                  <c:v>0.124468</c:v>
                </c:pt>
                <c:pt idx="1">
                  <c:v>0.123569230769231</c:v>
                </c:pt>
                <c:pt idx="2">
                  <c:v>0.119989655172414</c:v>
                </c:pt>
                <c:pt idx="3">
                  <c:v>0.11782121212121199</c:v>
                </c:pt>
                <c:pt idx="4">
                  <c:v>0.117308571428571</c:v>
                </c:pt>
                <c:pt idx="5">
                  <c:v>0.11818571428571401</c:v>
                </c:pt>
                <c:pt idx="6">
                  <c:v>0.11847222222222201</c:v>
                </c:pt>
                <c:pt idx="7">
                  <c:v>0.15185588235294101</c:v>
                </c:pt>
                <c:pt idx="8">
                  <c:v>0.13638</c:v>
                </c:pt>
              </c:numCache>
            </c:numRef>
          </c:val>
          <c:smooth val="0"/>
          <c:extLst>
            <c:ext xmlns:c16="http://schemas.microsoft.com/office/drawing/2014/chart" uri="{C3380CC4-5D6E-409C-BE32-E72D297353CC}">
              <c16:uniqueId val="{00000013-835D-41C2-B496-B912F256B13C}"/>
            </c:ext>
          </c:extLst>
        </c:ser>
        <c:dLbls>
          <c:showLegendKey val="0"/>
          <c:showVal val="1"/>
          <c:showCatName val="0"/>
          <c:showSerName val="0"/>
          <c:showPercent val="0"/>
          <c:showBubbleSize val="0"/>
        </c:dLbls>
        <c:marker val="1"/>
        <c:smooth val="0"/>
        <c:axId val="11797725"/>
        <c:axId val="40536321"/>
      </c:lineChart>
      <c:catAx>
        <c:axId val="1179772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536321"/>
        <c:crosses val="autoZero"/>
        <c:auto val="1"/>
        <c:lblAlgn val="ctr"/>
        <c:lblOffset val="100"/>
        <c:noMultiLvlLbl val="0"/>
      </c:catAx>
      <c:valAx>
        <c:axId val="40536321"/>
        <c:scaling>
          <c:orientation val="minMax"/>
          <c:min val="0.08"/>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1797725"/>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dc6e2d1-70e2-4649-8aa6-dad2c90979b3}"/>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Average winning price of Low-fat chocolate milk</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'Task3_4 Dispersion&amp;Average Pric'!$I$37</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1.83981491682274E-2"/>
                  <c:y val="-3.802969938428110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A8C-432A-953E-465593B0081C}"/>
                </c:ext>
              </c:extLst>
            </c:dLbl>
            <c:dLbl>
              <c:idx val="1"/>
              <c:layout>
                <c:manualLayout>
                  <c:x val="0"/>
                  <c:y val="-2.2636725823976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8C-432A-953E-465593B0081C}"/>
                </c:ext>
              </c:extLst>
            </c:dLbl>
            <c:dLbl>
              <c:idx val="2"/>
              <c:layout>
                <c:manualLayout>
                  <c:x val="-1.10168557893577E-3"/>
                  <c:y val="-1.14089098152843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8C-432A-953E-465593B0081C}"/>
                </c:ext>
              </c:extLst>
            </c:dLbl>
            <c:dLbl>
              <c:idx val="3"/>
              <c:layout>
                <c:manualLayout>
                  <c:x val="0"/>
                  <c:y val="-1.88337558855487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8C-432A-953E-465593B0081C}"/>
                </c:ext>
              </c:extLst>
            </c:dLbl>
            <c:dLbl>
              <c:idx val="4"/>
              <c:layout>
                <c:manualLayout>
                  <c:x val="0"/>
                  <c:y val="-9.416877942774359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8C-432A-953E-465593B0081C}"/>
                </c:ext>
              </c:extLst>
            </c:dLbl>
            <c:dLbl>
              <c:idx val="5"/>
              <c:layout>
                <c:manualLayout>
                  <c:x val="1.21185413682935E-3"/>
                  <c:y val="-1.12278160086925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8C-432A-953E-465593B0081C}"/>
                </c:ext>
              </c:extLst>
            </c:dLbl>
            <c:dLbl>
              <c:idx val="6"/>
              <c:layout>
                <c:manualLayout>
                  <c:x val="-5.7287650104660102E-3"/>
                  <c:y val="-7.17131474103585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8C-432A-953E-465593B0081C}"/>
                </c:ext>
              </c:extLst>
            </c:dLbl>
            <c:dLbl>
              <c:idx val="7"/>
              <c:layout>
                <c:manualLayout>
                  <c:x val="0"/>
                  <c:y val="-9.4168779427743592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8C-432A-953E-465593B0081C}"/>
                </c:ext>
              </c:extLst>
            </c:dLbl>
            <c:dLbl>
              <c:idx val="8"/>
              <c:layout>
                <c:manualLayout>
                  <c:x val="5.7287650104660102E-3"/>
                  <c:y val="-1.88337558855487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8C-432A-953E-465593B0081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Pric'!$J$36:$R$36</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Pric'!$J$37:$R$37</c:f>
              <c:numCache>
                <c:formatCode>0.0000</c:formatCode>
                <c:ptCount val="9"/>
                <c:pt idx="0">
                  <c:v>0.10598</c:v>
                </c:pt>
                <c:pt idx="1">
                  <c:v>0.13468333333333299</c:v>
                </c:pt>
                <c:pt idx="2">
                  <c:v>0.13871666666666699</c:v>
                </c:pt>
                <c:pt idx="3">
                  <c:v>0.141383333333333</c:v>
                </c:pt>
                <c:pt idx="4">
                  <c:v>0.14364285714285699</c:v>
                </c:pt>
                <c:pt idx="5">
                  <c:v>0.14695555555555601</c:v>
                </c:pt>
                <c:pt idx="6">
                  <c:v>0.125822222222222</c:v>
                </c:pt>
                <c:pt idx="7">
                  <c:v>0.160481818181818</c:v>
                </c:pt>
                <c:pt idx="8">
                  <c:v>0.142327272727273</c:v>
                </c:pt>
              </c:numCache>
            </c:numRef>
          </c:val>
          <c:smooth val="0"/>
          <c:extLst>
            <c:ext xmlns:c16="http://schemas.microsoft.com/office/drawing/2014/chart" uri="{C3380CC4-5D6E-409C-BE32-E72D297353CC}">
              <c16:uniqueId val="{00000009-0A8C-432A-953E-465593B0081C}"/>
            </c:ext>
          </c:extLst>
        </c:ser>
        <c:ser>
          <c:idx val="1"/>
          <c:order val="1"/>
          <c:tx>
            <c:strRef>
              <c:f>'Task3_4 Dispersion&amp;Average Pric'!$I$38</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1.48727553156329E-2"/>
                  <c:y val="9.81528431727635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8C-432A-953E-465593B0081C}"/>
                </c:ext>
              </c:extLst>
            </c:dLbl>
            <c:dLbl>
              <c:idx val="1"/>
              <c:layout>
                <c:manualLayout>
                  <c:x val="3.41522529470089E-3"/>
                  <c:y val="0.11897863093082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8C-432A-953E-465593B0081C}"/>
                </c:ext>
              </c:extLst>
            </c:dLbl>
            <c:dLbl>
              <c:idx val="2"/>
              <c:layout>
                <c:manualLayout>
                  <c:x val="-1.21185413682935E-3"/>
                  <c:y val="0.117167692864904"/>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A8C-432A-953E-465593B0081C}"/>
                </c:ext>
              </c:extLst>
            </c:dLbl>
            <c:dLbl>
              <c:idx val="3"/>
              <c:layout>
                <c:manualLayout>
                  <c:x val="5.7287650104660102E-3"/>
                  <c:y val="0.109561752988048"/>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A8C-432A-953E-465593B0081C}"/>
                </c:ext>
              </c:extLst>
            </c:dLbl>
            <c:dLbl>
              <c:idx val="4"/>
              <c:layout>
                <c:manualLayout>
                  <c:x val="9.2541588630604792E-3"/>
                  <c:y val="0.113364722926475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A8C-432A-953E-465593B0081C}"/>
                </c:ext>
              </c:extLst>
            </c:dLbl>
            <c:dLbl>
              <c:idx val="5"/>
              <c:layout>
                <c:manualLayout>
                  <c:x val="1.03558444419963E-2"/>
                  <c:y val="0.10593987685621201"/>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A8C-432A-953E-465593B0081C}"/>
                </c:ext>
              </c:extLst>
            </c:dLbl>
            <c:dLbl>
              <c:idx val="6"/>
              <c:layout>
                <c:manualLayout>
                  <c:x val="1.48727553156329E-2"/>
                  <c:y val="0.115356754798985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A8C-432A-953E-465593B0081C}"/>
                </c:ext>
              </c:extLst>
            </c:dLbl>
            <c:dLbl>
              <c:idx val="7"/>
              <c:layout>
                <c:manualLayout>
                  <c:x val="3.5253938525944702E-3"/>
                  <c:y val="0.179463962332487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A8C-432A-953E-465593B0081C}"/>
                </c:ext>
              </c:extLst>
            </c:dLbl>
            <c:dLbl>
              <c:idx val="8"/>
              <c:layout>
                <c:manualLayout>
                  <c:x val="1.02456758841027E-2"/>
                  <c:y val="0.12060847519014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A8C-432A-953E-465593B0081C}"/>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Pric'!$J$36:$R$36</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Pric'!$J$38:$R$38</c:f>
              <c:numCache>
                <c:formatCode>0.0000</c:formatCode>
                <c:ptCount val="9"/>
                <c:pt idx="0">
                  <c:v>0.12661600000000001</c:v>
                </c:pt>
                <c:pt idx="1">
                  <c:v>0.125112</c:v>
                </c:pt>
                <c:pt idx="2">
                  <c:v>0.12063214285714299</c:v>
                </c:pt>
                <c:pt idx="3">
                  <c:v>0.116891176470588</c:v>
                </c:pt>
                <c:pt idx="4">
                  <c:v>0.118363888888889</c:v>
                </c:pt>
                <c:pt idx="5">
                  <c:v>0.119244444444444</c:v>
                </c:pt>
                <c:pt idx="6">
                  <c:v>0.11990000000000001</c:v>
                </c:pt>
                <c:pt idx="7">
                  <c:v>0.15309696969697001</c:v>
                </c:pt>
                <c:pt idx="8">
                  <c:v>0.14018</c:v>
                </c:pt>
              </c:numCache>
            </c:numRef>
          </c:val>
          <c:smooth val="0"/>
          <c:extLst>
            <c:ext xmlns:c16="http://schemas.microsoft.com/office/drawing/2014/chart" uri="{C3380CC4-5D6E-409C-BE32-E72D297353CC}">
              <c16:uniqueId val="{00000013-0A8C-432A-953E-465593B0081C}"/>
            </c:ext>
          </c:extLst>
        </c:ser>
        <c:dLbls>
          <c:showLegendKey val="0"/>
          <c:showVal val="1"/>
          <c:showCatName val="0"/>
          <c:showSerName val="0"/>
          <c:showPercent val="0"/>
          <c:showBubbleSize val="0"/>
        </c:dLbls>
        <c:marker val="1"/>
        <c:smooth val="0"/>
        <c:axId val="588409936"/>
        <c:axId val="270422520"/>
      </c:lineChart>
      <c:catAx>
        <c:axId val="5884099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70422520"/>
        <c:crosses val="autoZero"/>
        <c:auto val="1"/>
        <c:lblAlgn val="ctr"/>
        <c:lblOffset val="100"/>
        <c:noMultiLvlLbl val="0"/>
      </c:catAx>
      <c:valAx>
        <c:axId val="270422520"/>
        <c:scaling>
          <c:orientation val="minMax"/>
          <c:min val="0.08"/>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88409936"/>
        <c:crosses val="autoZero"/>
        <c:crossBetween val="between"/>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3a6b67c-0d9c-4ea9-a2f5-346e1e36e29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US"/>
              <a:t>Average winning prices of Whole White Milk</a:t>
            </a:r>
          </a:p>
        </c:rich>
      </c:tx>
      <c:layout>
        <c:manualLayout>
          <c:xMode val="edge"/>
          <c:yMode val="edge"/>
          <c:x val="0.21631868131868101"/>
          <c:y val="3.7239868565169802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'Task3_4 Dispersion&amp;Average Pric'!$I$25</c:f>
              <c:strCache>
                <c:ptCount val="1"/>
                <c:pt idx="0">
                  <c:v>TRI-COUNTY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1.0989010989011E-3"/>
                  <c:y val="9.5290251916757898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46-4619-8875-D3E2C9466F7D}"/>
                </c:ext>
              </c:extLst>
            </c:dLbl>
            <c:dLbl>
              <c:idx val="1"/>
              <c:layout>
                <c:manualLayout>
                  <c:x val="9.8901098901098901E-4"/>
                  <c:y val="-1.35085797736400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46-4619-8875-D3E2C9466F7D}"/>
                </c:ext>
              </c:extLst>
            </c:dLbl>
            <c:dLbl>
              <c:idx val="2"/>
              <c:layout>
                <c:manualLayout>
                  <c:x val="1.0989010989011E-3"/>
                  <c:y val="-1.89850310332238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46-4619-8875-D3E2C9466F7D}"/>
                </c:ext>
              </c:extLst>
            </c:dLbl>
            <c:dLbl>
              <c:idx val="3"/>
              <c:layout>
                <c:manualLayout>
                  <c:x val="-3.4065934065934098E-3"/>
                  <c:y val="-1.898503103322380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46-4619-8875-D3E2C9466F7D}"/>
                </c:ext>
              </c:extLst>
            </c:dLbl>
            <c:dLbl>
              <c:idx val="4"/>
              <c:layout>
                <c:manualLayout>
                  <c:x val="0"/>
                  <c:y val="-7.6670317634173098E-3"/>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46-4619-8875-D3E2C9466F7D}"/>
                </c:ext>
              </c:extLst>
            </c:dLbl>
            <c:dLbl>
              <c:idx val="5"/>
              <c:layout>
                <c:manualLayout>
                  <c:x val="3.4065934065934098E-3"/>
                  <c:y val="-1.51515151515152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46-4619-8875-D3E2C9466F7D}"/>
                </c:ext>
              </c:extLst>
            </c:dLbl>
            <c:dLbl>
              <c:idx val="6"/>
              <c:layout>
                <c:manualLayout>
                  <c:x val="-6.9230769230769198E-3"/>
                  <c:y val="-2.86600949251552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46-4619-8875-D3E2C9466F7D}"/>
                </c:ext>
              </c:extLst>
            </c:dLbl>
            <c:dLbl>
              <c:idx val="7"/>
              <c:layout>
                <c:manualLayout>
                  <c:x val="-3.5164835164835199E-3"/>
                  <c:y val="-3.0485578678349799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46-4619-8875-D3E2C9466F7D}"/>
                </c:ext>
              </c:extLst>
            </c:dLbl>
            <c:dLbl>
              <c:idx val="8"/>
              <c:layout>
                <c:manualLayout>
                  <c:x val="-1.1428571428571401E-2"/>
                  <c:y val="0.1219423147133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C46-4619-8875-D3E2C9466F7D}"/>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Pric'!$J$24:$R$24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Pric'!$J$25:$R$25</c:f>
              <c:numCache>
                <c:formatCode>0.0000</c:formatCode>
                <c:ptCount val="9"/>
                <c:pt idx="0">
                  <c:v>0.118644444444444</c:v>
                </c:pt>
                <c:pt idx="1">
                  <c:v>0.13885555555555601</c:v>
                </c:pt>
                <c:pt idx="2">
                  <c:v>0.14152000000000001</c:v>
                </c:pt>
                <c:pt idx="3">
                  <c:v>0.14463000000000001</c:v>
                </c:pt>
                <c:pt idx="4">
                  <c:v>0.149458333333333</c:v>
                </c:pt>
                <c:pt idx="5">
                  <c:v>0.15129999999999999</c:v>
                </c:pt>
                <c:pt idx="6">
                  <c:v>0.13139166666666699</c:v>
                </c:pt>
                <c:pt idx="7">
                  <c:v>0.16200769230769199</c:v>
                </c:pt>
                <c:pt idx="8">
                  <c:v>0.14117692307692301</c:v>
                </c:pt>
              </c:numCache>
            </c:numRef>
          </c:val>
          <c:smooth val="0"/>
          <c:extLst>
            <c:ext xmlns:c16="http://schemas.microsoft.com/office/drawing/2014/chart" uri="{C3380CC4-5D6E-409C-BE32-E72D297353CC}">
              <c16:uniqueId val="{00000009-3C46-4619-8875-D3E2C9466F7D}"/>
            </c:ext>
          </c:extLst>
        </c:ser>
        <c:ser>
          <c:idx val="1"/>
          <c:order val="1"/>
          <c:tx>
            <c:strRef>
              <c:f>'Task3_4 Dispersion&amp;Average Pric'!$I$26</c:f>
              <c:strCache>
                <c:ptCount val="1"/>
                <c:pt idx="0">
                  <c:v>SURROUND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1.0989010989011E-3"/>
                  <c:y val="-1.5151515151515201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C46-4619-8875-D3E2C9466F7D}"/>
                </c:ext>
              </c:extLst>
            </c:dLbl>
            <c:dLbl>
              <c:idx val="1"/>
              <c:layout>
                <c:manualLayout>
                  <c:x val="-1.0989010989011E-3"/>
                  <c:y val="0.125775830595108"/>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C46-4619-8875-D3E2C9466F7D}"/>
                </c:ext>
              </c:extLst>
            </c:dLbl>
            <c:dLbl>
              <c:idx val="2"/>
              <c:layout>
                <c:manualLayout>
                  <c:x val="3.4065934065934098E-3"/>
                  <c:y val="0.11427528294998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C46-4619-8875-D3E2C9466F7D}"/>
                </c:ext>
              </c:extLst>
            </c:dLbl>
            <c:dLbl>
              <c:idx val="3"/>
              <c:layout>
                <c:manualLayout>
                  <c:x val="1.0989010989011E-3"/>
                  <c:y val="0.106608251186564"/>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C46-4619-8875-D3E2C9466F7D}"/>
                </c:ext>
              </c:extLst>
            </c:dLbl>
            <c:dLbl>
              <c:idx val="4"/>
              <c:layout>
                <c:manualLayout>
                  <c:x val="1.0989010989011E-3"/>
                  <c:y val="0.119934282584885"/>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C46-4619-8875-D3E2C9466F7D}"/>
                </c:ext>
              </c:extLst>
            </c:dLbl>
            <c:dLbl>
              <c:idx val="5"/>
              <c:layout>
                <c:manualLayout>
                  <c:x val="6.9230769230769198E-3"/>
                  <c:y val="0.1181087988316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C46-4619-8875-D3E2C9466F7D}"/>
                </c:ext>
              </c:extLst>
            </c:dLbl>
            <c:dLbl>
              <c:idx val="6"/>
              <c:layout>
                <c:manualLayout>
                  <c:x val="6.9230769230769198E-3"/>
                  <c:y val="0.106790799561884"/>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C46-4619-8875-D3E2C9466F7D}"/>
                </c:ext>
              </c:extLst>
            </c:dLbl>
            <c:dLbl>
              <c:idx val="7"/>
              <c:layout>
                <c:manualLayout>
                  <c:x val="-2.1978021978022E-3"/>
                  <c:y val="0.15808689302665199"/>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C46-4619-8875-D3E2C9466F7D}"/>
                </c:ext>
              </c:extLst>
            </c:dLbl>
            <c:dLbl>
              <c:idx val="8"/>
              <c:layout>
                <c:manualLayout>
                  <c:x val="4.6153846153846202E-3"/>
                  <c:y val="-3.03030303030303E-2"/>
                </c:manualLayout>
              </c:layout>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C46-4619-8875-D3E2C9466F7D}"/>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'Task3_4 Dispersion&amp;Average Pric'!$J$24:$R$24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'Task3_4 Dispersion&amp;Average Pric'!$J$26:$R$26</c:f>
              <c:numCache>
                <c:formatCode>0.0000</c:formatCode>
                <c:ptCount val="9"/>
                <c:pt idx="0">
                  <c:v>0.13171739130434801</c:v>
                </c:pt>
                <c:pt idx="1">
                  <c:v>0.13089545454545501</c:v>
                </c:pt>
                <c:pt idx="2">
                  <c:v>0.12791538461538501</c:v>
                </c:pt>
                <c:pt idx="3">
                  <c:v>0.12530303030303</c:v>
                </c:pt>
                <c:pt idx="4">
                  <c:v>0.126386111111111</c:v>
                </c:pt>
                <c:pt idx="5">
                  <c:v>0.12768888888888899</c:v>
                </c:pt>
                <c:pt idx="6">
                  <c:v>0.129731578947368</c:v>
                </c:pt>
                <c:pt idx="7">
                  <c:v>0.16094</c:v>
                </c:pt>
                <c:pt idx="8">
                  <c:v>0.14518</c:v>
                </c:pt>
              </c:numCache>
            </c:numRef>
          </c:val>
          <c:smooth val="0"/>
          <c:extLst>
            <c:ext xmlns:c16="http://schemas.microsoft.com/office/drawing/2014/chart" uri="{C3380CC4-5D6E-409C-BE32-E72D297353CC}">
              <c16:uniqueId val="{00000013-3C46-4619-8875-D3E2C9466F7D}"/>
            </c:ext>
          </c:extLst>
        </c:ser>
        <c:dLbls>
          <c:showLegendKey val="0"/>
          <c:showVal val="1"/>
          <c:showCatName val="0"/>
          <c:showSerName val="0"/>
          <c:showPercent val="0"/>
          <c:showBubbleSize val="0"/>
        </c:dLbls>
        <c:marker val="1"/>
        <c:smooth val="0"/>
        <c:axId val="259428809"/>
        <c:axId val="546675815"/>
      </c:lineChart>
      <c:catAx>
        <c:axId val="25942880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46675815"/>
        <c:crosses val="autoZero"/>
        <c:auto val="1"/>
        <c:lblAlgn val="ctr"/>
        <c:lblOffset val="100"/>
        <c:noMultiLvlLbl val="0"/>
      </c:catAx>
      <c:valAx>
        <c:axId val="546675815"/>
        <c:scaling>
          <c:orientation val="minMax"/>
          <c:min val="0.08"/>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59428809"/>
        <c:crosses val="autoZero"/>
        <c:crossBetween val="between"/>
        <c:majorUnit val="0.02"/>
        <c:minorUnit val="8.0000000000000002E-3"/>
      </c:valAx>
      <c:spPr>
        <a:noFill/>
        <a:ln>
          <a:noFill/>
        </a:ln>
        <a:effectLst/>
      </c:spPr>
    </c:plotArea>
    <c:legend>
      <c:legendPos val="b"/>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3919609-44df-4b48-ae47-c356e1e67fd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440">
                <a:latin typeface="Times New Roman" panose="02020603050405020304" charset="0"/>
                <a:ea typeface="Times New Roman" panose="02020603050405020304" charset="0"/>
                <a:cs typeface="Times New Roman" panose="02020603050405020304" charset="0"/>
                <a:sym typeface="Times New Roman" panose="02020603050405020304" charset="0"/>
              </a:rPr>
              <a:t>Surround market</a:t>
            </a:r>
          </a:p>
        </c:rich>
      </c:tx>
      <c:overlay val="0"/>
      <c:spPr>
        <a:noFill/>
        <a:ln>
          <a:noFill/>
        </a:ln>
        <a:effectLst/>
      </c:spPr>
      <c:txPr>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'[1]Raw data'!$G$2:$G$278</c:f>
              <c:numCache>
                <c:formatCode>General</c:formatCode>
                <c:ptCount val="277"/>
                <c:pt idx="0">
                  <c:v>7.6399999999999996E-2</c:v>
                </c:pt>
                <c:pt idx="1">
                  <c:v>7.6399999999999996E-2</c:v>
                </c:pt>
                <c:pt idx="2">
                  <c:v>7.6399999999999996E-2</c:v>
                </c:pt>
                <c:pt idx="3">
                  <c:v>7.6399999999999996E-2</c:v>
                </c:pt>
                <c:pt idx="4">
                  <c:v>7.6399999999999996E-2</c:v>
                </c:pt>
                <c:pt idx="5">
                  <c:v>7.6399999999999996E-2</c:v>
                </c:pt>
                <c:pt idx="6">
                  <c:v>7.6399999999999996E-2</c:v>
                </c:pt>
                <c:pt idx="7">
                  <c:v>7.6399999999999996E-2</c:v>
                </c:pt>
                <c:pt idx="8">
                  <c:v>7.6399999999999996E-2</c:v>
                </c:pt>
                <c:pt idx="9">
                  <c:v>7.6300000000000007E-2</c:v>
                </c:pt>
                <c:pt idx="10">
                  <c:v>7.6300000000000007E-2</c:v>
                </c:pt>
                <c:pt idx="11">
                  <c:v>7.6300000000000007E-2</c:v>
                </c:pt>
                <c:pt idx="12">
                  <c:v>7.6300000000000007E-2</c:v>
                </c:pt>
                <c:pt idx="13">
                  <c:v>7.6399999999999996E-2</c:v>
                </c:pt>
                <c:pt idx="14">
                  <c:v>7.6399999999999996E-2</c:v>
                </c:pt>
                <c:pt idx="15">
                  <c:v>7.6399999999999996E-2</c:v>
                </c:pt>
                <c:pt idx="16">
                  <c:v>7.6399999999999996E-2</c:v>
                </c:pt>
                <c:pt idx="17">
                  <c:v>7.6399999999999996E-2</c:v>
                </c:pt>
                <c:pt idx="18">
                  <c:v>7.6399999999999996E-2</c:v>
                </c:pt>
                <c:pt idx="19">
                  <c:v>7.6399999999999996E-2</c:v>
                </c:pt>
                <c:pt idx="20">
                  <c:v>7.6399999999999996E-2</c:v>
                </c:pt>
                <c:pt idx="21">
                  <c:v>7.6300000000000007E-2</c:v>
                </c:pt>
                <c:pt idx="22">
                  <c:v>7.6300000000000007E-2</c:v>
                </c:pt>
                <c:pt idx="23">
                  <c:v>7.6300000000000007E-2</c:v>
                </c:pt>
                <c:pt idx="24">
                  <c:v>7.6300000000000007E-2</c:v>
                </c:pt>
                <c:pt idx="25">
                  <c:v>7.6300000000000007E-2</c:v>
                </c:pt>
                <c:pt idx="26">
                  <c:v>7.6300000000000007E-2</c:v>
                </c:pt>
                <c:pt idx="27">
                  <c:v>7.6399999999999996E-2</c:v>
                </c:pt>
                <c:pt idx="28">
                  <c:v>7.4099999999999999E-2</c:v>
                </c:pt>
                <c:pt idx="29">
                  <c:v>7.3999999999999996E-2</c:v>
                </c:pt>
                <c:pt idx="30">
                  <c:v>7.3999999999999996E-2</c:v>
                </c:pt>
                <c:pt idx="31">
                  <c:v>7.3999999999999996E-2</c:v>
                </c:pt>
                <c:pt idx="32">
                  <c:v>7.4099999999999999E-2</c:v>
                </c:pt>
                <c:pt idx="33">
                  <c:v>7.4099999999999999E-2</c:v>
                </c:pt>
                <c:pt idx="34">
                  <c:v>7.4099999999999999E-2</c:v>
                </c:pt>
                <c:pt idx="35">
                  <c:v>7.4099999999999999E-2</c:v>
                </c:pt>
                <c:pt idx="36">
                  <c:v>7.4099999999999999E-2</c:v>
                </c:pt>
                <c:pt idx="37">
                  <c:v>7.4099999999999999E-2</c:v>
                </c:pt>
                <c:pt idx="38">
                  <c:v>7.4099999999999999E-2</c:v>
                </c:pt>
                <c:pt idx="39">
                  <c:v>7.4099999999999999E-2</c:v>
                </c:pt>
                <c:pt idx="40">
                  <c:v>7.4099999999999999E-2</c:v>
                </c:pt>
                <c:pt idx="41">
                  <c:v>7.3999999999999996E-2</c:v>
                </c:pt>
                <c:pt idx="42">
                  <c:v>7.3999999999999996E-2</c:v>
                </c:pt>
                <c:pt idx="43">
                  <c:v>7.3999999999999996E-2</c:v>
                </c:pt>
                <c:pt idx="44">
                  <c:v>7.3999999999999996E-2</c:v>
                </c:pt>
                <c:pt idx="45">
                  <c:v>7.3999999999999996E-2</c:v>
                </c:pt>
                <c:pt idx="46">
                  <c:v>7.4099999999999999E-2</c:v>
                </c:pt>
                <c:pt idx="47">
                  <c:v>7.4099999999999999E-2</c:v>
                </c:pt>
                <c:pt idx="48">
                  <c:v>7.4099999999999999E-2</c:v>
                </c:pt>
                <c:pt idx="49">
                  <c:v>7.4099999999999999E-2</c:v>
                </c:pt>
                <c:pt idx="50">
                  <c:v>7.4099999999999999E-2</c:v>
                </c:pt>
                <c:pt idx="51">
                  <c:v>7.4099999999999999E-2</c:v>
                </c:pt>
                <c:pt idx="52">
                  <c:v>7.4099999999999999E-2</c:v>
                </c:pt>
                <c:pt idx="53">
                  <c:v>7.4099999999999999E-2</c:v>
                </c:pt>
                <c:pt idx="54">
                  <c:v>7.4099999999999999E-2</c:v>
                </c:pt>
                <c:pt idx="55">
                  <c:v>7.4099999999999999E-2</c:v>
                </c:pt>
                <c:pt idx="56">
                  <c:v>7.3400000000000007E-2</c:v>
                </c:pt>
                <c:pt idx="57">
                  <c:v>7.1599999999999997E-2</c:v>
                </c:pt>
                <c:pt idx="58">
                  <c:v>7.0699999999999999E-2</c:v>
                </c:pt>
                <c:pt idx="59">
                  <c:v>7.0699999999999999E-2</c:v>
                </c:pt>
                <c:pt idx="60">
                  <c:v>7.0699999999999999E-2</c:v>
                </c:pt>
                <c:pt idx="61">
                  <c:v>7.0699999999999999E-2</c:v>
                </c:pt>
                <c:pt idx="62">
                  <c:v>7.0699999999999999E-2</c:v>
                </c:pt>
                <c:pt idx="63">
                  <c:v>7.0699999999999999E-2</c:v>
                </c:pt>
                <c:pt idx="64">
                  <c:v>7.0699999999999999E-2</c:v>
                </c:pt>
                <c:pt idx="65">
                  <c:v>7.0699999999999999E-2</c:v>
                </c:pt>
                <c:pt idx="66">
                  <c:v>7.0699999999999999E-2</c:v>
                </c:pt>
                <c:pt idx="67">
                  <c:v>6.93E-2</c:v>
                </c:pt>
                <c:pt idx="68">
                  <c:v>6.93E-2</c:v>
                </c:pt>
                <c:pt idx="69">
                  <c:v>6.93E-2</c:v>
                </c:pt>
                <c:pt idx="70">
                  <c:v>6.93E-2</c:v>
                </c:pt>
                <c:pt idx="71">
                  <c:v>6.93E-2</c:v>
                </c:pt>
                <c:pt idx="72">
                  <c:v>7.1599999999999997E-2</c:v>
                </c:pt>
                <c:pt idx="73">
                  <c:v>7.1599999999999997E-2</c:v>
                </c:pt>
                <c:pt idx="74">
                  <c:v>7.1599999999999997E-2</c:v>
                </c:pt>
                <c:pt idx="75">
                  <c:v>7.1599999999999997E-2</c:v>
                </c:pt>
                <c:pt idx="76">
                  <c:v>7.1599999999999997E-2</c:v>
                </c:pt>
                <c:pt idx="77">
                  <c:v>7.0699999999999999E-2</c:v>
                </c:pt>
                <c:pt idx="78">
                  <c:v>7.0699999999999999E-2</c:v>
                </c:pt>
                <c:pt idx="79">
                  <c:v>7.0699999999999999E-2</c:v>
                </c:pt>
                <c:pt idx="80">
                  <c:v>7.0699999999999999E-2</c:v>
                </c:pt>
                <c:pt idx="81">
                  <c:v>7.0699999999999999E-2</c:v>
                </c:pt>
                <c:pt idx="82">
                  <c:v>6.93E-2</c:v>
                </c:pt>
                <c:pt idx="83">
                  <c:v>6.93E-2</c:v>
                </c:pt>
                <c:pt idx="84">
                  <c:v>6.93E-2</c:v>
                </c:pt>
                <c:pt idx="85">
                  <c:v>6.93E-2</c:v>
                </c:pt>
                <c:pt idx="86">
                  <c:v>6.93E-2</c:v>
                </c:pt>
                <c:pt idx="87">
                  <c:v>6.93E-2</c:v>
                </c:pt>
                <c:pt idx="88">
                  <c:v>7.0000000000000007E-2</c:v>
                </c:pt>
                <c:pt idx="89">
                  <c:v>7.0000000000000007E-2</c:v>
                </c:pt>
                <c:pt idx="90">
                  <c:v>7.0000000000000007E-2</c:v>
                </c:pt>
                <c:pt idx="91">
                  <c:v>7.0000000000000007E-2</c:v>
                </c:pt>
                <c:pt idx="92">
                  <c:v>7.0000000000000007E-2</c:v>
                </c:pt>
                <c:pt idx="93">
                  <c:v>7.0000000000000007E-2</c:v>
                </c:pt>
                <c:pt idx="94">
                  <c:v>7.0000000000000007E-2</c:v>
                </c:pt>
                <c:pt idx="95">
                  <c:v>7.0000000000000007E-2</c:v>
                </c:pt>
                <c:pt idx="96">
                  <c:v>7.0000000000000007E-2</c:v>
                </c:pt>
                <c:pt idx="97">
                  <c:v>7.0000000000000007E-2</c:v>
                </c:pt>
                <c:pt idx="98">
                  <c:v>7.0000000000000007E-2</c:v>
                </c:pt>
                <c:pt idx="99">
                  <c:v>7.0000000000000007E-2</c:v>
                </c:pt>
                <c:pt idx="100">
                  <c:v>7.0000000000000007E-2</c:v>
                </c:pt>
                <c:pt idx="101">
                  <c:v>7.0000000000000007E-2</c:v>
                </c:pt>
                <c:pt idx="102">
                  <c:v>7.0000000000000007E-2</c:v>
                </c:pt>
                <c:pt idx="103">
                  <c:v>7.0099999999999996E-2</c:v>
                </c:pt>
                <c:pt idx="104">
                  <c:v>7.0099999999999996E-2</c:v>
                </c:pt>
                <c:pt idx="105">
                  <c:v>7.0099999999999996E-2</c:v>
                </c:pt>
                <c:pt idx="106">
                  <c:v>7.0099999999999996E-2</c:v>
                </c:pt>
                <c:pt idx="107">
                  <c:v>7.0400000000000004E-2</c:v>
                </c:pt>
                <c:pt idx="108">
                  <c:v>7.0400000000000004E-2</c:v>
                </c:pt>
                <c:pt idx="109">
                  <c:v>7.0400000000000004E-2</c:v>
                </c:pt>
                <c:pt idx="110">
                  <c:v>7.0400000000000004E-2</c:v>
                </c:pt>
                <c:pt idx="111">
                  <c:v>7.0400000000000004E-2</c:v>
                </c:pt>
                <c:pt idx="112">
                  <c:v>7.0400000000000004E-2</c:v>
                </c:pt>
                <c:pt idx="113">
                  <c:v>7.0400000000000004E-2</c:v>
                </c:pt>
                <c:pt idx="114">
                  <c:v>7.0400000000000004E-2</c:v>
                </c:pt>
                <c:pt idx="115">
                  <c:v>7.0400000000000004E-2</c:v>
                </c:pt>
                <c:pt idx="116">
                  <c:v>7.0400000000000004E-2</c:v>
                </c:pt>
                <c:pt idx="117">
                  <c:v>7.0400000000000004E-2</c:v>
                </c:pt>
                <c:pt idx="118">
                  <c:v>7.0499999999999993E-2</c:v>
                </c:pt>
                <c:pt idx="119">
                  <c:v>7.0499999999999993E-2</c:v>
                </c:pt>
                <c:pt idx="120">
                  <c:v>7.0499999999999993E-2</c:v>
                </c:pt>
                <c:pt idx="121">
                  <c:v>7.0499999999999993E-2</c:v>
                </c:pt>
                <c:pt idx="122">
                  <c:v>7.0499999999999993E-2</c:v>
                </c:pt>
                <c:pt idx="123">
                  <c:v>7.0499999999999993E-2</c:v>
                </c:pt>
                <c:pt idx="124">
                  <c:v>7.0499999999999993E-2</c:v>
                </c:pt>
                <c:pt idx="125">
                  <c:v>7.0300000000000001E-2</c:v>
                </c:pt>
                <c:pt idx="126">
                  <c:v>7.0099999999999996E-2</c:v>
                </c:pt>
                <c:pt idx="127">
                  <c:v>7.0099999999999996E-2</c:v>
                </c:pt>
                <c:pt idx="128">
                  <c:v>7.0099999999999996E-2</c:v>
                </c:pt>
                <c:pt idx="129">
                  <c:v>7.0099999999999996E-2</c:v>
                </c:pt>
                <c:pt idx="130">
                  <c:v>7.0099999999999996E-2</c:v>
                </c:pt>
                <c:pt idx="131">
                  <c:v>7.0099999999999996E-2</c:v>
                </c:pt>
                <c:pt idx="132">
                  <c:v>7.0099999999999996E-2</c:v>
                </c:pt>
                <c:pt idx="133">
                  <c:v>7.0099999999999996E-2</c:v>
                </c:pt>
                <c:pt idx="134">
                  <c:v>7.0099999999999996E-2</c:v>
                </c:pt>
                <c:pt idx="135">
                  <c:v>7.0099999999999996E-2</c:v>
                </c:pt>
                <c:pt idx="136">
                  <c:v>7.0099999999999996E-2</c:v>
                </c:pt>
                <c:pt idx="137">
                  <c:v>7.0099999999999996E-2</c:v>
                </c:pt>
                <c:pt idx="138">
                  <c:v>7.0099999999999996E-2</c:v>
                </c:pt>
                <c:pt idx="139">
                  <c:v>7.0099999999999996E-2</c:v>
                </c:pt>
                <c:pt idx="140">
                  <c:v>7.0099999999999996E-2</c:v>
                </c:pt>
                <c:pt idx="141">
                  <c:v>7.0499999999999993E-2</c:v>
                </c:pt>
                <c:pt idx="142">
                  <c:v>7.0499999999999993E-2</c:v>
                </c:pt>
                <c:pt idx="143">
                  <c:v>7.0499999999999993E-2</c:v>
                </c:pt>
                <c:pt idx="144">
                  <c:v>7.0599999999999996E-2</c:v>
                </c:pt>
                <c:pt idx="145">
                  <c:v>7.0499999999999993E-2</c:v>
                </c:pt>
                <c:pt idx="146">
                  <c:v>7.0499999999999993E-2</c:v>
                </c:pt>
                <c:pt idx="147">
                  <c:v>7.0499999999999993E-2</c:v>
                </c:pt>
                <c:pt idx="148">
                  <c:v>7.0499999999999993E-2</c:v>
                </c:pt>
                <c:pt idx="149">
                  <c:v>7.0499999999999993E-2</c:v>
                </c:pt>
                <c:pt idx="150">
                  <c:v>7.0499999999999993E-2</c:v>
                </c:pt>
                <c:pt idx="151">
                  <c:v>7.0499999999999993E-2</c:v>
                </c:pt>
                <c:pt idx="152">
                  <c:v>7.0499999999999993E-2</c:v>
                </c:pt>
                <c:pt idx="153">
                  <c:v>7.0499999999999993E-2</c:v>
                </c:pt>
                <c:pt idx="154">
                  <c:v>7.0499999999999993E-2</c:v>
                </c:pt>
                <c:pt idx="155">
                  <c:v>7.0800000000000002E-2</c:v>
                </c:pt>
                <c:pt idx="156">
                  <c:v>7.0800000000000002E-2</c:v>
                </c:pt>
                <c:pt idx="157">
                  <c:v>7.0800000000000002E-2</c:v>
                </c:pt>
                <c:pt idx="158">
                  <c:v>7.0800000000000002E-2</c:v>
                </c:pt>
                <c:pt idx="159">
                  <c:v>7.0800000000000002E-2</c:v>
                </c:pt>
                <c:pt idx="160">
                  <c:v>7.0800000000000002E-2</c:v>
                </c:pt>
                <c:pt idx="161">
                  <c:v>7.0800000000000002E-2</c:v>
                </c:pt>
                <c:pt idx="162">
                  <c:v>6.7000000000000004E-2</c:v>
                </c:pt>
                <c:pt idx="163">
                  <c:v>6.6500000000000004E-2</c:v>
                </c:pt>
                <c:pt idx="164">
                  <c:v>6.6500000000000004E-2</c:v>
                </c:pt>
                <c:pt idx="165">
                  <c:v>6.6500000000000004E-2</c:v>
                </c:pt>
                <c:pt idx="166">
                  <c:v>6.6500000000000004E-2</c:v>
                </c:pt>
                <c:pt idx="167">
                  <c:v>6.6500000000000004E-2</c:v>
                </c:pt>
                <c:pt idx="168">
                  <c:v>6.6500000000000004E-2</c:v>
                </c:pt>
                <c:pt idx="169">
                  <c:v>6.6500000000000004E-2</c:v>
                </c:pt>
                <c:pt idx="170">
                  <c:v>6.6500000000000004E-2</c:v>
                </c:pt>
                <c:pt idx="171">
                  <c:v>6.6500000000000004E-2</c:v>
                </c:pt>
                <c:pt idx="172">
                  <c:v>6.6500000000000004E-2</c:v>
                </c:pt>
                <c:pt idx="173">
                  <c:v>6.6500000000000004E-2</c:v>
                </c:pt>
                <c:pt idx="174">
                  <c:v>6.6500000000000004E-2</c:v>
                </c:pt>
                <c:pt idx="175">
                  <c:v>6.6500000000000004E-2</c:v>
                </c:pt>
                <c:pt idx="176">
                  <c:v>6.6500000000000004E-2</c:v>
                </c:pt>
                <c:pt idx="177">
                  <c:v>6.6500000000000004E-2</c:v>
                </c:pt>
                <c:pt idx="178">
                  <c:v>6.6500000000000004E-2</c:v>
                </c:pt>
                <c:pt idx="179">
                  <c:v>6.6500000000000004E-2</c:v>
                </c:pt>
                <c:pt idx="180">
                  <c:v>6.6500000000000004E-2</c:v>
                </c:pt>
                <c:pt idx="181">
                  <c:v>6.7400000000000002E-2</c:v>
                </c:pt>
                <c:pt idx="182">
                  <c:v>6.6900000000000001E-2</c:v>
                </c:pt>
                <c:pt idx="183">
                  <c:v>6.6900000000000001E-2</c:v>
                </c:pt>
                <c:pt idx="184">
                  <c:v>6.6900000000000001E-2</c:v>
                </c:pt>
                <c:pt idx="185">
                  <c:v>6.6900000000000001E-2</c:v>
                </c:pt>
                <c:pt idx="186">
                  <c:v>6.6900000000000001E-2</c:v>
                </c:pt>
                <c:pt idx="187">
                  <c:v>6.6900000000000001E-2</c:v>
                </c:pt>
                <c:pt idx="188">
                  <c:v>6.6900000000000001E-2</c:v>
                </c:pt>
                <c:pt idx="189">
                  <c:v>6.6900000000000001E-2</c:v>
                </c:pt>
                <c:pt idx="190">
                  <c:v>6.6900000000000001E-2</c:v>
                </c:pt>
                <c:pt idx="191">
                  <c:v>6.6900000000000001E-2</c:v>
                </c:pt>
                <c:pt idx="192">
                  <c:v>6.6900000000000001E-2</c:v>
                </c:pt>
                <c:pt idx="193">
                  <c:v>6.6900000000000001E-2</c:v>
                </c:pt>
                <c:pt idx="194">
                  <c:v>6.6900000000000001E-2</c:v>
                </c:pt>
                <c:pt idx="195">
                  <c:v>6.6900000000000001E-2</c:v>
                </c:pt>
                <c:pt idx="196">
                  <c:v>6.6900000000000001E-2</c:v>
                </c:pt>
                <c:pt idx="197">
                  <c:v>6.6900000000000001E-2</c:v>
                </c:pt>
                <c:pt idx="198">
                  <c:v>6.6900000000000001E-2</c:v>
                </c:pt>
                <c:pt idx="199">
                  <c:v>7.6700000000000004E-2</c:v>
                </c:pt>
                <c:pt idx="200">
                  <c:v>7.0000000000000007E-2</c:v>
                </c:pt>
                <c:pt idx="201">
                  <c:v>7.0599999999999996E-2</c:v>
                </c:pt>
                <c:pt idx="202">
                  <c:v>7.0599999999999996E-2</c:v>
                </c:pt>
                <c:pt idx="203">
                  <c:v>7.0599999999999996E-2</c:v>
                </c:pt>
                <c:pt idx="204">
                  <c:v>7.0599999999999996E-2</c:v>
                </c:pt>
                <c:pt idx="205">
                  <c:v>7.0599999999999996E-2</c:v>
                </c:pt>
                <c:pt idx="206">
                  <c:v>7.0699999999999999E-2</c:v>
                </c:pt>
                <c:pt idx="207">
                  <c:v>7.0699999999999999E-2</c:v>
                </c:pt>
                <c:pt idx="208">
                  <c:v>7.0699999999999999E-2</c:v>
                </c:pt>
                <c:pt idx="209">
                  <c:v>7.0699999999999999E-2</c:v>
                </c:pt>
                <c:pt idx="210">
                  <c:v>7.0699999999999999E-2</c:v>
                </c:pt>
                <c:pt idx="211">
                  <c:v>7.0699999999999999E-2</c:v>
                </c:pt>
                <c:pt idx="212">
                  <c:v>7.0699999999999999E-2</c:v>
                </c:pt>
                <c:pt idx="213">
                  <c:v>7.0699999999999999E-2</c:v>
                </c:pt>
                <c:pt idx="214">
                  <c:v>7.0699999999999999E-2</c:v>
                </c:pt>
                <c:pt idx="215">
                  <c:v>7.1900000000000006E-2</c:v>
                </c:pt>
                <c:pt idx="216">
                  <c:v>7.1900000000000006E-2</c:v>
                </c:pt>
                <c:pt idx="217">
                  <c:v>7.1900000000000006E-2</c:v>
                </c:pt>
                <c:pt idx="218">
                  <c:v>7.4200000000000002E-2</c:v>
                </c:pt>
                <c:pt idx="219">
                  <c:v>7.0400000000000004E-2</c:v>
                </c:pt>
                <c:pt idx="220">
                  <c:v>7.0900000000000005E-2</c:v>
                </c:pt>
                <c:pt idx="221">
                  <c:v>7.0900000000000005E-2</c:v>
                </c:pt>
                <c:pt idx="222">
                  <c:v>7.0900000000000005E-2</c:v>
                </c:pt>
                <c:pt idx="223">
                  <c:v>7.1099999999999997E-2</c:v>
                </c:pt>
                <c:pt idx="224">
                  <c:v>7.1099999999999997E-2</c:v>
                </c:pt>
                <c:pt idx="225">
                  <c:v>7.1099999999999997E-2</c:v>
                </c:pt>
                <c:pt idx="226">
                  <c:v>7.1099999999999997E-2</c:v>
                </c:pt>
                <c:pt idx="227">
                  <c:v>7.1099999999999997E-2</c:v>
                </c:pt>
                <c:pt idx="228">
                  <c:v>7.1099999999999997E-2</c:v>
                </c:pt>
                <c:pt idx="229">
                  <c:v>7.1099999999999997E-2</c:v>
                </c:pt>
                <c:pt idx="230">
                  <c:v>7.1099999999999997E-2</c:v>
                </c:pt>
                <c:pt idx="231">
                  <c:v>7.22E-2</c:v>
                </c:pt>
                <c:pt idx="232">
                  <c:v>7.22E-2</c:v>
                </c:pt>
                <c:pt idx="233">
                  <c:v>7.22E-2</c:v>
                </c:pt>
                <c:pt idx="234">
                  <c:v>7.22E-2</c:v>
                </c:pt>
                <c:pt idx="235">
                  <c:v>7.22E-2</c:v>
                </c:pt>
                <c:pt idx="236">
                  <c:v>7.22E-2</c:v>
                </c:pt>
                <c:pt idx="237">
                  <c:v>7.5600000000000001E-2</c:v>
                </c:pt>
                <c:pt idx="238">
                  <c:v>7.7200000000000005E-2</c:v>
                </c:pt>
                <c:pt idx="239">
                  <c:v>7.7200000000000005E-2</c:v>
                </c:pt>
                <c:pt idx="240">
                  <c:v>7.7200000000000005E-2</c:v>
                </c:pt>
                <c:pt idx="241">
                  <c:v>7.7200000000000005E-2</c:v>
                </c:pt>
                <c:pt idx="242">
                  <c:v>7.7200000000000005E-2</c:v>
                </c:pt>
                <c:pt idx="243">
                  <c:v>7.7200000000000005E-2</c:v>
                </c:pt>
                <c:pt idx="244">
                  <c:v>7.9699999999999993E-2</c:v>
                </c:pt>
                <c:pt idx="245">
                  <c:v>7.9699999999999993E-2</c:v>
                </c:pt>
                <c:pt idx="246">
                  <c:v>7.9699999999999993E-2</c:v>
                </c:pt>
                <c:pt idx="247">
                  <c:v>7.9699999999999993E-2</c:v>
                </c:pt>
                <c:pt idx="248">
                  <c:v>7.9699999999999993E-2</c:v>
                </c:pt>
                <c:pt idx="249">
                  <c:v>7.9699999999999993E-2</c:v>
                </c:pt>
                <c:pt idx="250">
                  <c:v>7.9699999999999993E-2</c:v>
                </c:pt>
                <c:pt idx="251">
                  <c:v>7.9699999999999993E-2</c:v>
                </c:pt>
                <c:pt idx="252">
                  <c:v>7.9699999999999993E-2</c:v>
                </c:pt>
                <c:pt idx="253">
                  <c:v>8.2299999999999998E-2</c:v>
                </c:pt>
                <c:pt idx="254">
                  <c:v>8.2299999999999998E-2</c:v>
                </c:pt>
                <c:pt idx="255">
                  <c:v>8.2299999999999998E-2</c:v>
                </c:pt>
                <c:pt idx="256">
                  <c:v>7.5899999999999995E-2</c:v>
                </c:pt>
                <c:pt idx="257">
                  <c:v>7.7600000000000002E-2</c:v>
                </c:pt>
                <c:pt idx="258">
                  <c:v>7.7600000000000002E-2</c:v>
                </c:pt>
                <c:pt idx="259">
                  <c:v>7.7600000000000002E-2</c:v>
                </c:pt>
                <c:pt idx="260">
                  <c:v>7.7600000000000002E-2</c:v>
                </c:pt>
                <c:pt idx="261">
                  <c:v>0.08</c:v>
                </c:pt>
                <c:pt idx="262">
                  <c:v>0.08</c:v>
                </c:pt>
                <c:pt idx="263">
                  <c:v>0.08</c:v>
                </c:pt>
                <c:pt idx="264">
                  <c:v>0.08</c:v>
                </c:pt>
                <c:pt idx="265">
                  <c:v>0.08</c:v>
                </c:pt>
                <c:pt idx="266">
                  <c:v>0.08</c:v>
                </c:pt>
                <c:pt idx="267">
                  <c:v>0.08</c:v>
                </c:pt>
                <c:pt idx="268">
                  <c:v>0.08</c:v>
                </c:pt>
                <c:pt idx="269">
                  <c:v>0.08</c:v>
                </c:pt>
                <c:pt idx="270">
                  <c:v>0.08</c:v>
                </c:pt>
                <c:pt idx="271">
                  <c:v>8.2699999999999996E-2</c:v>
                </c:pt>
                <c:pt idx="272">
                  <c:v>6.6000000000000003E-2</c:v>
                </c:pt>
                <c:pt idx="273">
                  <c:v>6.6000000000000003E-2</c:v>
                </c:pt>
                <c:pt idx="274">
                  <c:v>6.6000000000000003E-2</c:v>
                </c:pt>
                <c:pt idx="275">
                  <c:v>6.6299999999999998E-2</c:v>
                </c:pt>
                <c:pt idx="276">
                  <c:v>6.8199999999999997E-2</c:v>
                </c:pt>
              </c:numCache>
            </c:numRef>
          </c:xVal>
          <c:yVal>
            <c:numRef>
              <c:f>'[1]Raw data'!$H$2:$H$278</c:f>
              <c:numCache>
                <c:formatCode>0.0000</c:formatCode>
                <c:ptCount val="277"/>
                <c:pt idx="0">
                  <c:v>0.139333333333333</c:v>
                </c:pt>
                <c:pt idx="1">
                  <c:v>0.12</c:v>
                </c:pt>
                <c:pt idx="2">
                  <c:v>0.11333333333333299</c:v>
                </c:pt>
                <c:pt idx="3">
                  <c:v>0.119333333333333</c:v>
                </c:pt>
                <c:pt idx="4">
                  <c:v>0.1143</c:v>
                </c:pt>
                <c:pt idx="5">
                  <c:v>0.11333333333333299</c:v>
                </c:pt>
                <c:pt idx="6">
                  <c:v>0.1225</c:v>
                </c:pt>
                <c:pt idx="7">
                  <c:v>0.115</c:v>
                </c:pt>
                <c:pt idx="8">
                  <c:v>0.124333333333333</c:v>
                </c:pt>
                <c:pt idx="9">
                  <c:v>0.13766666666666699</c:v>
                </c:pt>
                <c:pt idx="10">
                  <c:v>0.127033333333333</c:v>
                </c:pt>
                <c:pt idx="11">
                  <c:v>0.125</c:v>
                </c:pt>
                <c:pt idx="12">
                  <c:v>0.125</c:v>
                </c:pt>
                <c:pt idx="13">
                  <c:v>0.13300000000000001</c:v>
                </c:pt>
                <c:pt idx="14">
                  <c:v>0.15083333333333299</c:v>
                </c:pt>
                <c:pt idx="15">
                  <c:v>0.1149</c:v>
                </c:pt>
                <c:pt idx="16">
                  <c:v>0.1225</c:v>
                </c:pt>
                <c:pt idx="17">
                  <c:v>0.11700000000000001</c:v>
                </c:pt>
                <c:pt idx="18">
                  <c:v>0.16800000000000001</c:v>
                </c:pt>
                <c:pt idx="19">
                  <c:v>0.12616666666666701</c:v>
                </c:pt>
                <c:pt idx="20">
                  <c:v>0.16800000000000001</c:v>
                </c:pt>
                <c:pt idx="21">
                  <c:v>0.11383333333333299</c:v>
                </c:pt>
                <c:pt idx="22">
                  <c:v>0.116166666666667</c:v>
                </c:pt>
                <c:pt idx="23">
                  <c:v>0.11</c:v>
                </c:pt>
                <c:pt idx="24">
                  <c:v>0.1245</c:v>
                </c:pt>
                <c:pt idx="25">
                  <c:v>0.12783333333333299</c:v>
                </c:pt>
                <c:pt idx="26">
                  <c:v>0.1138</c:v>
                </c:pt>
                <c:pt idx="27">
                  <c:v>0.12783333333333299</c:v>
                </c:pt>
                <c:pt idx="28">
                  <c:v>0.127</c:v>
                </c:pt>
                <c:pt idx="29">
                  <c:v>0.141866666666667</c:v>
                </c:pt>
                <c:pt idx="30">
                  <c:v>0.12216666666666701</c:v>
                </c:pt>
                <c:pt idx="31">
                  <c:v>0.120333333333333</c:v>
                </c:pt>
                <c:pt idx="32">
                  <c:v>0.1305</c:v>
                </c:pt>
                <c:pt idx="33">
                  <c:v>0.112</c:v>
                </c:pt>
                <c:pt idx="34">
                  <c:v>0.121</c:v>
                </c:pt>
                <c:pt idx="35">
                  <c:v>0.123333333333333</c:v>
                </c:pt>
                <c:pt idx="36">
                  <c:v>0.125</c:v>
                </c:pt>
                <c:pt idx="37">
                  <c:v>0.12166666666666701</c:v>
                </c:pt>
                <c:pt idx="38">
                  <c:v>0.117466666666667</c:v>
                </c:pt>
                <c:pt idx="39">
                  <c:v>0.125</c:v>
                </c:pt>
                <c:pt idx="40">
                  <c:v>0.124833333333333</c:v>
                </c:pt>
                <c:pt idx="41">
                  <c:v>0.11005</c:v>
                </c:pt>
                <c:pt idx="42">
                  <c:v>0.16800000000000001</c:v>
                </c:pt>
                <c:pt idx="43">
                  <c:v>0.12633333333333299</c:v>
                </c:pt>
                <c:pt idx="44">
                  <c:v>0.124</c:v>
                </c:pt>
                <c:pt idx="45">
                  <c:v>0.12516666666666701</c:v>
                </c:pt>
                <c:pt idx="46">
                  <c:v>0.1169</c:v>
                </c:pt>
                <c:pt idx="47">
                  <c:v>0.120166666666667</c:v>
                </c:pt>
                <c:pt idx="48">
                  <c:v>0.123</c:v>
                </c:pt>
                <c:pt idx="49">
                  <c:v>0.16800000000000001</c:v>
                </c:pt>
                <c:pt idx="50">
                  <c:v>0.12466666666666699</c:v>
                </c:pt>
                <c:pt idx="51">
                  <c:v>0.113666666666667</c:v>
                </c:pt>
                <c:pt idx="52">
                  <c:v>0.113666666666667</c:v>
                </c:pt>
                <c:pt idx="53">
                  <c:v>0.11</c:v>
                </c:pt>
                <c:pt idx="54">
                  <c:v>0.13450000000000001</c:v>
                </c:pt>
                <c:pt idx="55">
                  <c:v>0.1132</c:v>
                </c:pt>
                <c:pt idx="56">
                  <c:v>0.125</c:v>
                </c:pt>
                <c:pt idx="57">
                  <c:v>0.124</c:v>
                </c:pt>
                <c:pt idx="58">
                  <c:v>0.13066666666666699</c:v>
                </c:pt>
                <c:pt idx="59">
                  <c:v>0.12566666666666701</c:v>
                </c:pt>
                <c:pt idx="60">
                  <c:v>0.1079</c:v>
                </c:pt>
                <c:pt idx="61">
                  <c:v>0.126</c:v>
                </c:pt>
                <c:pt idx="62">
                  <c:v>0.115133333333333</c:v>
                </c:pt>
                <c:pt idx="63">
                  <c:v>0.12125</c:v>
                </c:pt>
                <c:pt idx="64">
                  <c:v>0.11600000000000001</c:v>
                </c:pt>
                <c:pt idx="65">
                  <c:v>0.117833333333333</c:v>
                </c:pt>
                <c:pt idx="66">
                  <c:v>0.12583333333333299</c:v>
                </c:pt>
                <c:pt idx="67">
                  <c:v>0.13</c:v>
                </c:pt>
                <c:pt idx="68">
                  <c:v>0.12816666666666701</c:v>
                </c:pt>
                <c:pt idx="69">
                  <c:v>0.11333333333333299</c:v>
                </c:pt>
                <c:pt idx="70">
                  <c:v>0.11283333333333299</c:v>
                </c:pt>
                <c:pt idx="71">
                  <c:v>0.122833333333333</c:v>
                </c:pt>
                <c:pt idx="72">
                  <c:v>0.11333333333333299</c:v>
                </c:pt>
                <c:pt idx="73">
                  <c:v>0.106833333333333</c:v>
                </c:pt>
                <c:pt idx="74">
                  <c:v>0.1072</c:v>
                </c:pt>
                <c:pt idx="75">
                  <c:v>0.16800000000000001</c:v>
                </c:pt>
                <c:pt idx="76">
                  <c:v>0.11874999999999999</c:v>
                </c:pt>
                <c:pt idx="77">
                  <c:v>0.12</c:v>
                </c:pt>
                <c:pt idx="78">
                  <c:v>0.1153</c:v>
                </c:pt>
                <c:pt idx="79">
                  <c:v>0.16800000000000001</c:v>
                </c:pt>
                <c:pt idx="80">
                  <c:v>0.119166666666667</c:v>
                </c:pt>
                <c:pt idx="81">
                  <c:v>0.121333333333333</c:v>
                </c:pt>
                <c:pt idx="82">
                  <c:v>0.113</c:v>
                </c:pt>
                <c:pt idx="83">
                  <c:v>0.107</c:v>
                </c:pt>
                <c:pt idx="84">
                  <c:v>0.12</c:v>
                </c:pt>
                <c:pt idx="85">
                  <c:v>0.12633333333333299</c:v>
                </c:pt>
                <c:pt idx="86">
                  <c:v>0.1245</c:v>
                </c:pt>
                <c:pt idx="87">
                  <c:v>0.11</c:v>
                </c:pt>
                <c:pt idx="88">
                  <c:v>0.123</c:v>
                </c:pt>
                <c:pt idx="89">
                  <c:v>0.12366666666666699</c:v>
                </c:pt>
                <c:pt idx="90">
                  <c:v>0.1265</c:v>
                </c:pt>
                <c:pt idx="91">
                  <c:v>0.115833333333333</c:v>
                </c:pt>
                <c:pt idx="92">
                  <c:v>0.1305</c:v>
                </c:pt>
                <c:pt idx="93">
                  <c:v>0.115266666666667</c:v>
                </c:pt>
                <c:pt idx="94">
                  <c:v>0.11183333333333299</c:v>
                </c:pt>
                <c:pt idx="95">
                  <c:v>0.111</c:v>
                </c:pt>
                <c:pt idx="96">
                  <c:v>0.1285</c:v>
                </c:pt>
                <c:pt idx="97">
                  <c:v>0.110166666666667</c:v>
                </c:pt>
                <c:pt idx="98">
                  <c:v>0.11700000000000001</c:v>
                </c:pt>
                <c:pt idx="99">
                  <c:v>0.114</c:v>
                </c:pt>
                <c:pt idx="100">
                  <c:v>0.116333333333333</c:v>
                </c:pt>
                <c:pt idx="101">
                  <c:v>0.12833333333333299</c:v>
                </c:pt>
                <c:pt idx="102">
                  <c:v>0.120966666666667</c:v>
                </c:pt>
                <c:pt idx="103">
                  <c:v>0.13250000000000001</c:v>
                </c:pt>
                <c:pt idx="104">
                  <c:v>0.12866666666666701</c:v>
                </c:pt>
                <c:pt idx="105">
                  <c:v>0.12833333333333299</c:v>
                </c:pt>
                <c:pt idx="106">
                  <c:v>0.115</c:v>
                </c:pt>
                <c:pt idx="107">
                  <c:v>0.112666666666667</c:v>
                </c:pt>
                <c:pt idx="108">
                  <c:v>0.10866666666666699</c:v>
                </c:pt>
                <c:pt idx="109">
                  <c:v>0.10489999999999999</c:v>
                </c:pt>
                <c:pt idx="110">
                  <c:v>0.11550000000000001</c:v>
                </c:pt>
                <c:pt idx="111">
                  <c:v>0.1137</c:v>
                </c:pt>
                <c:pt idx="112">
                  <c:v>0.11609999999999999</c:v>
                </c:pt>
                <c:pt idx="113">
                  <c:v>0.157</c:v>
                </c:pt>
                <c:pt idx="114">
                  <c:v>0.157</c:v>
                </c:pt>
                <c:pt idx="115">
                  <c:v>0.116666666666667</c:v>
                </c:pt>
                <c:pt idx="116">
                  <c:v>0.1215</c:v>
                </c:pt>
                <c:pt idx="117">
                  <c:v>0.118833333333333</c:v>
                </c:pt>
                <c:pt idx="118">
                  <c:v>0.112166666666667</c:v>
                </c:pt>
                <c:pt idx="119">
                  <c:v>0.11333333333333299</c:v>
                </c:pt>
                <c:pt idx="120">
                  <c:v>0.1129</c:v>
                </c:pt>
                <c:pt idx="121">
                  <c:v>0.11899999999999999</c:v>
                </c:pt>
                <c:pt idx="122">
                  <c:v>0.11333333333333299</c:v>
                </c:pt>
                <c:pt idx="123">
                  <c:v>0.11333333333333299</c:v>
                </c:pt>
                <c:pt idx="124">
                  <c:v>0.10525</c:v>
                </c:pt>
                <c:pt idx="125">
                  <c:v>0.118666666666667</c:v>
                </c:pt>
                <c:pt idx="126">
                  <c:v>0.13150000000000001</c:v>
                </c:pt>
                <c:pt idx="127">
                  <c:v>0.121</c:v>
                </c:pt>
                <c:pt idx="128">
                  <c:v>0.13116666666666699</c:v>
                </c:pt>
                <c:pt idx="129">
                  <c:v>0.115</c:v>
                </c:pt>
                <c:pt idx="130">
                  <c:v>0.1285</c:v>
                </c:pt>
                <c:pt idx="131">
                  <c:v>0.115</c:v>
                </c:pt>
                <c:pt idx="132">
                  <c:v>0.113166666666667</c:v>
                </c:pt>
                <c:pt idx="133">
                  <c:v>0.125</c:v>
                </c:pt>
                <c:pt idx="134">
                  <c:v>0.12616666666666701</c:v>
                </c:pt>
                <c:pt idx="135">
                  <c:v>0.12533333333333299</c:v>
                </c:pt>
                <c:pt idx="136">
                  <c:v>0.1152</c:v>
                </c:pt>
                <c:pt idx="137">
                  <c:v>0.115666666666667</c:v>
                </c:pt>
                <c:pt idx="138">
                  <c:v>0.12966666666666701</c:v>
                </c:pt>
                <c:pt idx="139">
                  <c:v>0.117333333333333</c:v>
                </c:pt>
                <c:pt idx="140">
                  <c:v>0.115</c:v>
                </c:pt>
                <c:pt idx="141">
                  <c:v>0.13250000000000001</c:v>
                </c:pt>
                <c:pt idx="142">
                  <c:v>0.111666666666667</c:v>
                </c:pt>
                <c:pt idx="143">
                  <c:v>0.13166666666666699</c:v>
                </c:pt>
                <c:pt idx="144">
                  <c:v>0.115</c:v>
                </c:pt>
                <c:pt idx="145">
                  <c:v>0.111166666666667</c:v>
                </c:pt>
                <c:pt idx="146">
                  <c:v>0.115666666666667</c:v>
                </c:pt>
                <c:pt idx="147">
                  <c:v>0.12116666666666701</c:v>
                </c:pt>
                <c:pt idx="148">
                  <c:v>0.114666666666667</c:v>
                </c:pt>
                <c:pt idx="149">
                  <c:v>0.108366666666667</c:v>
                </c:pt>
                <c:pt idx="150">
                  <c:v>0.159</c:v>
                </c:pt>
                <c:pt idx="151">
                  <c:v>0.159</c:v>
                </c:pt>
                <c:pt idx="152">
                  <c:v>0.113</c:v>
                </c:pt>
                <c:pt idx="153">
                  <c:v>0.114</c:v>
                </c:pt>
                <c:pt idx="154">
                  <c:v>0.117333333333333</c:v>
                </c:pt>
                <c:pt idx="155">
                  <c:v>0.114</c:v>
                </c:pt>
                <c:pt idx="156">
                  <c:v>0.119333333333333</c:v>
                </c:pt>
                <c:pt idx="157">
                  <c:v>0.112766666666667</c:v>
                </c:pt>
                <c:pt idx="158">
                  <c:v>0.1235</c:v>
                </c:pt>
                <c:pt idx="159">
                  <c:v>0.11550000000000001</c:v>
                </c:pt>
                <c:pt idx="160">
                  <c:v>0.112166666666667</c:v>
                </c:pt>
                <c:pt idx="161">
                  <c:v>0.10916666666666699</c:v>
                </c:pt>
                <c:pt idx="162">
                  <c:v>0.11799999999999999</c:v>
                </c:pt>
                <c:pt idx="163">
                  <c:v>0.125</c:v>
                </c:pt>
                <c:pt idx="164">
                  <c:v>0.118333333333333</c:v>
                </c:pt>
                <c:pt idx="165">
                  <c:v>0.13500000000000001</c:v>
                </c:pt>
                <c:pt idx="166">
                  <c:v>0.121633333333333</c:v>
                </c:pt>
                <c:pt idx="167">
                  <c:v>0.13166666666666699</c:v>
                </c:pt>
                <c:pt idx="168">
                  <c:v>0.11799999999999999</c:v>
                </c:pt>
                <c:pt idx="169">
                  <c:v>0.11183333333333299</c:v>
                </c:pt>
                <c:pt idx="170">
                  <c:v>0.12</c:v>
                </c:pt>
                <c:pt idx="171">
                  <c:v>0.12716666666666701</c:v>
                </c:pt>
                <c:pt idx="172">
                  <c:v>0.12866666666666701</c:v>
                </c:pt>
                <c:pt idx="173">
                  <c:v>0.113</c:v>
                </c:pt>
                <c:pt idx="174">
                  <c:v>0.11525000000000001</c:v>
                </c:pt>
                <c:pt idx="175">
                  <c:v>0.118166666666667</c:v>
                </c:pt>
                <c:pt idx="176">
                  <c:v>0.13066666666666699</c:v>
                </c:pt>
                <c:pt idx="177">
                  <c:v>0.115333333333333</c:v>
                </c:pt>
                <c:pt idx="178">
                  <c:v>0.14000000000000001</c:v>
                </c:pt>
                <c:pt idx="179">
                  <c:v>0.13700000000000001</c:v>
                </c:pt>
                <c:pt idx="180">
                  <c:v>0.115</c:v>
                </c:pt>
                <c:pt idx="181">
                  <c:v>0.118333333333333</c:v>
                </c:pt>
                <c:pt idx="182">
                  <c:v>0.105733333333333</c:v>
                </c:pt>
                <c:pt idx="183">
                  <c:v>0.112166666666667</c:v>
                </c:pt>
                <c:pt idx="184">
                  <c:v>0.12116666666666701</c:v>
                </c:pt>
                <c:pt idx="185">
                  <c:v>0.114333333333333</c:v>
                </c:pt>
                <c:pt idx="186">
                  <c:v>0.111166666666667</c:v>
                </c:pt>
                <c:pt idx="187">
                  <c:v>0.159</c:v>
                </c:pt>
                <c:pt idx="188">
                  <c:v>0.118333333333333</c:v>
                </c:pt>
                <c:pt idx="189">
                  <c:v>0.159</c:v>
                </c:pt>
                <c:pt idx="190">
                  <c:v>0.142666666666667</c:v>
                </c:pt>
                <c:pt idx="191">
                  <c:v>0.11283333333333299</c:v>
                </c:pt>
                <c:pt idx="192">
                  <c:v>0.115333333333333</c:v>
                </c:pt>
                <c:pt idx="193">
                  <c:v>0.116333333333333</c:v>
                </c:pt>
                <c:pt idx="194">
                  <c:v>0.114166666666667</c:v>
                </c:pt>
                <c:pt idx="195">
                  <c:v>0.1115</c:v>
                </c:pt>
                <c:pt idx="196">
                  <c:v>0.11550000000000001</c:v>
                </c:pt>
                <c:pt idx="197">
                  <c:v>0.114166666666667</c:v>
                </c:pt>
                <c:pt idx="198">
                  <c:v>0.11233333333333299</c:v>
                </c:pt>
                <c:pt idx="199">
                  <c:v>0.12</c:v>
                </c:pt>
                <c:pt idx="200">
                  <c:v>0.11650000000000001</c:v>
                </c:pt>
                <c:pt idx="201">
                  <c:v>0.123333333333333</c:v>
                </c:pt>
                <c:pt idx="202">
                  <c:v>0.1275</c:v>
                </c:pt>
                <c:pt idx="203">
                  <c:v>0.1235</c:v>
                </c:pt>
                <c:pt idx="204">
                  <c:v>0.1295</c:v>
                </c:pt>
                <c:pt idx="205">
                  <c:v>0.129766666666667</c:v>
                </c:pt>
                <c:pt idx="206">
                  <c:v>0.14000000000000001</c:v>
                </c:pt>
                <c:pt idx="207">
                  <c:v>0.11650000000000001</c:v>
                </c:pt>
                <c:pt idx="208">
                  <c:v>0.120133333333333</c:v>
                </c:pt>
                <c:pt idx="209">
                  <c:v>0.1275</c:v>
                </c:pt>
                <c:pt idx="210">
                  <c:v>0.1195</c:v>
                </c:pt>
                <c:pt idx="211">
                  <c:v>0.12130000000000001</c:v>
                </c:pt>
                <c:pt idx="212">
                  <c:v>0.11573333333333299</c:v>
                </c:pt>
                <c:pt idx="213">
                  <c:v>0.134333333333333</c:v>
                </c:pt>
                <c:pt idx="214">
                  <c:v>0.121333333333333</c:v>
                </c:pt>
                <c:pt idx="215">
                  <c:v>0.122</c:v>
                </c:pt>
                <c:pt idx="216">
                  <c:v>0.13500000000000001</c:v>
                </c:pt>
                <c:pt idx="217">
                  <c:v>0.114333333333333</c:v>
                </c:pt>
                <c:pt idx="218">
                  <c:v>0.129</c:v>
                </c:pt>
                <c:pt idx="219">
                  <c:v>0.11573333333333299</c:v>
                </c:pt>
                <c:pt idx="220">
                  <c:v>0.123</c:v>
                </c:pt>
                <c:pt idx="221">
                  <c:v>0.11776666666666701</c:v>
                </c:pt>
                <c:pt idx="222">
                  <c:v>0.12266666666666701</c:v>
                </c:pt>
                <c:pt idx="223">
                  <c:v>0.114166666666667</c:v>
                </c:pt>
                <c:pt idx="224">
                  <c:v>0.114166666666667</c:v>
                </c:pt>
                <c:pt idx="225">
                  <c:v>0.122333333333333</c:v>
                </c:pt>
                <c:pt idx="226">
                  <c:v>0.119666666666667</c:v>
                </c:pt>
                <c:pt idx="227">
                  <c:v>0.131833333333333</c:v>
                </c:pt>
                <c:pt idx="228">
                  <c:v>0.132833333333333</c:v>
                </c:pt>
                <c:pt idx="229">
                  <c:v>0.117833333333333</c:v>
                </c:pt>
                <c:pt idx="230">
                  <c:v>0.120333333333333</c:v>
                </c:pt>
                <c:pt idx="231">
                  <c:v>0.122</c:v>
                </c:pt>
                <c:pt idx="232">
                  <c:v>0.1203</c:v>
                </c:pt>
                <c:pt idx="233">
                  <c:v>0.131833333333333</c:v>
                </c:pt>
                <c:pt idx="234">
                  <c:v>0.123</c:v>
                </c:pt>
                <c:pt idx="235">
                  <c:v>0.12416666666666699</c:v>
                </c:pt>
                <c:pt idx="236">
                  <c:v>0.117066666666667</c:v>
                </c:pt>
                <c:pt idx="237">
                  <c:v>0.14883333333333301</c:v>
                </c:pt>
                <c:pt idx="238">
                  <c:v>0.16066666666666701</c:v>
                </c:pt>
                <c:pt idx="239">
                  <c:v>0.15933333333333299</c:v>
                </c:pt>
                <c:pt idx="240">
                  <c:v>0.156</c:v>
                </c:pt>
                <c:pt idx="241">
                  <c:v>0.15933333333333299</c:v>
                </c:pt>
                <c:pt idx="242">
                  <c:v>0.15490000000000001</c:v>
                </c:pt>
                <c:pt idx="243">
                  <c:v>0.15333333333333299</c:v>
                </c:pt>
                <c:pt idx="244">
                  <c:v>0.16</c:v>
                </c:pt>
                <c:pt idx="245">
                  <c:v>0.143666666666667</c:v>
                </c:pt>
                <c:pt idx="246">
                  <c:v>0.161</c:v>
                </c:pt>
                <c:pt idx="247">
                  <c:v>0.16900000000000001</c:v>
                </c:pt>
                <c:pt idx="248">
                  <c:v>0.15933333333333299</c:v>
                </c:pt>
                <c:pt idx="249">
                  <c:v>0.14699999999999999</c:v>
                </c:pt>
                <c:pt idx="250">
                  <c:v>0.16500000000000001</c:v>
                </c:pt>
                <c:pt idx="251">
                  <c:v>0.16366666666666699</c:v>
                </c:pt>
                <c:pt idx="252">
                  <c:v>0.14833333333333301</c:v>
                </c:pt>
                <c:pt idx="253">
                  <c:v>0.1585</c:v>
                </c:pt>
                <c:pt idx="254">
                  <c:v>0.159</c:v>
                </c:pt>
                <c:pt idx="255">
                  <c:v>0.14883333333333301</c:v>
                </c:pt>
                <c:pt idx="256">
                  <c:v>0.140666666666667</c:v>
                </c:pt>
                <c:pt idx="257">
                  <c:v>0.166333333333333</c:v>
                </c:pt>
                <c:pt idx="258">
                  <c:v>0.15</c:v>
                </c:pt>
                <c:pt idx="259">
                  <c:v>0.151733333333333</c:v>
                </c:pt>
                <c:pt idx="260">
                  <c:v>0.15083333333333299</c:v>
                </c:pt>
                <c:pt idx="261">
                  <c:v>0.1595</c:v>
                </c:pt>
                <c:pt idx="262">
                  <c:v>0.151666666666667</c:v>
                </c:pt>
                <c:pt idx="263">
                  <c:v>0.168333333333333</c:v>
                </c:pt>
                <c:pt idx="264">
                  <c:v>0.150666666666667</c:v>
                </c:pt>
                <c:pt idx="265">
                  <c:v>0.136066666666667</c:v>
                </c:pt>
                <c:pt idx="266">
                  <c:v>0.15276666666666699</c:v>
                </c:pt>
                <c:pt idx="267">
                  <c:v>0.15559999999999999</c:v>
                </c:pt>
                <c:pt idx="268">
                  <c:v>0.17016666666666699</c:v>
                </c:pt>
                <c:pt idx="269">
                  <c:v>0.15216666666666701</c:v>
                </c:pt>
                <c:pt idx="270">
                  <c:v>0.15333333333333299</c:v>
                </c:pt>
                <c:pt idx="271">
                  <c:v>0.161333333333333</c:v>
                </c:pt>
                <c:pt idx="272">
                  <c:v>0.13866666666666699</c:v>
                </c:pt>
                <c:pt idx="273">
                  <c:v>0.13866666666666699</c:v>
                </c:pt>
                <c:pt idx="274">
                  <c:v>0.150666666666667</c:v>
                </c:pt>
                <c:pt idx="275">
                  <c:v>0.14449999999999999</c:v>
                </c:pt>
                <c:pt idx="276">
                  <c:v>0.13039999999999999</c:v>
                </c:pt>
              </c:numCache>
            </c:numRef>
          </c:yVal>
          <c:smooth val="0"/>
          <c:extLst>
            <c:ext xmlns:c16="http://schemas.microsoft.com/office/drawing/2014/chart" uri="{C3380CC4-5D6E-409C-BE32-E72D297353CC}">
              <c16:uniqueId val="{00000001-3743-4F83-8626-625A16FB2BAB}"/>
            </c:ext>
          </c:extLst>
        </c:ser>
        <c:dLbls>
          <c:showLegendKey val="0"/>
          <c:showVal val="0"/>
          <c:showCatName val="0"/>
          <c:showSerName val="0"/>
          <c:showPercent val="0"/>
          <c:showBubbleSize val="0"/>
        </c:dLbls>
        <c:axId val="269169989"/>
        <c:axId val="848336820"/>
      </c:scatterChart>
      <c:valAx>
        <c:axId val="269169989"/>
        <c:scaling>
          <c:orientation val="minMax"/>
          <c:min val="5.9999999900000003E-2"/>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848336820"/>
        <c:crosses val="autoZero"/>
        <c:crossBetween val="midCat"/>
      </c:valAx>
      <c:valAx>
        <c:axId val="848336820"/>
        <c:scaling>
          <c:orientation val="minMax"/>
          <c:min val="0.10000000100000001"/>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269169989"/>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07a2074b-a5e2-4fe1-905f-5f0474a9a609}"/>
      </c:ext>
    </c:extLst>
  </c:chart>
  <c:spPr>
    <a:solidFill>
      <a:schemeClr val="bg1"/>
    </a:solidFill>
    <a:ln w="9525" cap="flat" cmpd="sng" algn="ctr">
      <a:solidFill>
        <a:schemeClr val="tx1">
          <a:lumMod val="15000"/>
          <a:lumOff val="85000"/>
        </a:schemeClr>
      </a:solidFill>
      <a:round/>
    </a:ln>
    <a:effectLst/>
  </c:spPr>
  <c:txPr>
    <a:bodyPr anchor="b" anchorCtr="0"/>
    <a:lstStyle/>
    <a:p>
      <a:pPr>
        <a:defRPr lang="en-US" sz="1200">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2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200">
                <a:latin typeface="Times New Roman" panose="02020603050405020304" charset="0"/>
                <a:ea typeface="Times New Roman" panose="02020603050405020304" charset="0"/>
                <a:cs typeface="Times New Roman" panose="02020603050405020304" charset="0"/>
                <a:sym typeface="Times New Roman" panose="02020603050405020304" charset="0"/>
              </a:rPr>
              <a:t>Tri-County market</a:t>
            </a:r>
          </a:p>
        </c:rich>
      </c:tx>
      <c:overlay val="0"/>
      <c:spPr>
        <a:noFill/>
        <a:ln>
          <a:noFill/>
        </a:ln>
        <a:effectLst/>
      </c:spPr>
      <c:txPr>
        <a:bodyPr rot="0" spcFirstLastPara="0" vertOverflow="ellipsis" vert="horz" wrap="square" anchor="ctr" anchorCtr="1"/>
        <a:lstStyle/>
        <a:p>
          <a:pPr defTabSz="914400">
            <a:defRPr lang="en-US" sz="120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'[1]Raw data'!$G$279:$G$393</c:f>
              <c:numCache>
                <c:formatCode>General</c:formatCode>
                <c:ptCount val="115"/>
                <c:pt idx="0">
                  <c:v>7.6399999999999996E-2</c:v>
                </c:pt>
                <c:pt idx="1">
                  <c:v>7.6399999999999996E-2</c:v>
                </c:pt>
                <c:pt idx="2">
                  <c:v>7.6399999999999996E-2</c:v>
                </c:pt>
                <c:pt idx="3">
                  <c:v>7.6399999999999996E-2</c:v>
                </c:pt>
                <c:pt idx="4">
                  <c:v>7.6300000000000007E-2</c:v>
                </c:pt>
                <c:pt idx="5">
                  <c:v>7.6300000000000007E-2</c:v>
                </c:pt>
                <c:pt idx="6">
                  <c:v>7.6300000000000007E-2</c:v>
                </c:pt>
                <c:pt idx="7">
                  <c:v>7.6300000000000007E-2</c:v>
                </c:pt>
                <c:pt idx="8">
                  <c:v>7.6300000000000007E-2</c:v>
                </c:pt>
                <c:pt idx="9">
                  <c:v>7.6300000000000007E-2</c:v>
                </c:pt>
                <c:pt idx="10">
                  <c:v>7.6300000000000007E-2</c:v>
                </c:pt>
                <c:pt idx="11">
                  <c:v>7.3999999999999996E-2</c:v>
                </c:pt>
                <c:pt idx="12">
                  <c:v>7.4099999999999999E-2</c:v>
                </c:pt>
                <c:pt idx="13">
                  <c:v>7.4099999999999999E-2</c:v>
                </c:pt>
                <c:pt idx="14">
                  <c:v>7.4099999999999999E-2</c:v>
                </c:pt>
                <c:pt idx="15">
                  <c:v>7.4099999999999999E-2</c:v>
                </c:pt>
                <c:pt idx="16">
                  <c:v>7.4099999999999999E-2</c:v>
                </c:pt>
                <c:pt idx="17">
                  <c:v>7.4099999999999999E-2</c:v>
                </c:pt>
                <c:pt idx="18">
                  <c:v>7.4099999999999999E-2</c:v>
                </c:pt>
                <c:pt idx="19">
                  <c:v>7.4099999999999999E-2</c:v>
                </c:pt>
                <c:pt idx="20">
                  <c:v>7.4099999999999999E-2</c:v>
                </c:pt>
                <c:pt idx="21">
                  <c:v>7.4099999999999999E-2</c:v>
                </c:pt>
                <c:pt idx="22">
                  <c:v>7.4099999999999999E-2</c:v>
                </c:pt>
                <c:pt idx="23">
                  <c:v>7.1599999999999997E-2</c:v>
                </c:pt>
                <c:pt idx="24">
                  <c:v>7.0699999999999999E-2</c:v>
                </c:pt>
                <c:pt idx="25">
                  <c:v>7.0699999999999999E-2</c:v>
                </c:pt>
                <c:pt idx="26">
                  <c:v>7.0699999999999999E-2</c:v>
                </c:pt>
                <c:pt idx="27">
                  <c:v>7.0699999999999999E-2</c:v>
                </c:pt>
                <c:pt idx="28">
                  <c:v>7.0699999999999999E-2</c:v>
                </c:pt>
                <c:pt idx="29">
                  <c:v>7.0699999999999999E-2</c:v>
                </c:pt>
                <c:pt idx="30">
                  <c:v>6.93E-2</c:v>
                </c:pt>
                <c:pt idx="31">
                  <c:v>6.93E-2</c:v>
                </c:pt>
                <c:pt idx="32">
                  <c:v>6.93E-2</c:v>
                </c:pt>
                <c:pt idx="33">
                  <c:v>6.93E-2</c:v>
                </c:pt>
                <c:pt idx="34">
                  <c:v>6.93E-2</c:v>
                </c:pt>
                <c:pt idx="35">
                  <c:v>6.93E-2</c:v>
                </c:pt>
                <c:pt idx="36">
                  <c:v>7.0000000000000007E-2</c:v>
                </c:pt>
                <c:pt idx="37">
                  <c:v>7.0000000000000007E-2</c:v>
                </c:pt>
                <c:pt idx="38">
                  <c:v>7.0000000000000007E-2</c:v>
                </c:pt>
                <c:pt idx="39">
                  <c:v>7.0000000000000007E-2</c:v>
                </c:pt>
                <c:pt idx="40">
                  <c:v>7.0000000000000007E-2</c:v>
                </c:pt>
                <c:pt idx="41">
                  <c:v>7.0000000000000007E-2</c:v>
                </c:pt>
                <c:pt idx="42">
                  <c:v>7.0099999999999996E-2</c:v>
                </c:pt>
                <c:pt idx="43">
                  <c:v>7.0099999999999996E-2</c:v>
                </c:pt>
                <c:pt idx="44">
                  <c:v>7.0099999999999996E-2</c:v>
                </c:pt>
                <c:pt idx="45">
                  <c:v>7.0099999999999996E-2</c:v>
                </c:pt>
                <c:pt idx="46">
                  <c:v>7.0099999999999996E-2</c:v>
                </c:pt>
                <c:pt idx="47">
                  <c:v>7.0099999999999996E-2</c:v>
                </c:pt>
                <c:pt idx="48">
                  <c:v>7.0099999999999996E-2</c:v>
                </c:pt>
                <c:pt idx="49">
                  <c:v>7.0300000000000001E-2</c:v>
                </c:pt>
                <c:pt idx="50">
                  <c:v>7.0099999999999996E-2</c:v>
                </c:pt>
                <c:pt idx="51">
                  <c:v>7.0099999999999996E-2</c:v>
                </c:pt>
                <c:pt idx="52">
                  <c:v>7.0099999999999996E-2</c:v>
                </c:pt>
                <c:pt idx="53">
                  <c:v>7.0099999999999996E-2</c:v>
                </c:pt>
                <c:pt idx="54">
                  <c:v>7.0099999999999996E-2</c:v>
                </c:pt>
                <c:pt idx="55">
                  <c:v>7.0099999999999996E-2</c:v>
                </c:pt>
                <c:pt idx="56">
                  <c:v>7.0099999999999996E-2</c:v>
                </c:pt>
                <c:pt idx="57">
                  <c:v>7.0499999999999993E-2</c:v>
                </c:pt>
                <c:pt idx="58">
                  <c:v>7.0499999999999993E-2</c:v>
                </c:pt>
                <c:pt idx="59">
                  <c:v>7.0499999999999993E-2</c:v>
                </c:pt>
                <c:pt idx="60">
                  <c:v>7.0499999999999993E-2</c:v>
                </c:pt>
                <c:pt idx="61">
                  <c:v>7.0499999999999993E-2</c:v>
                </c:pt>
                <c:pt idx="62">
                  <c:v>6.6500000000000004E-2</c:v>
                </c:pt>
                <c:pt idx="63">
                  <c:v>6.6500000000000004E-2</c:v>
                </c:pt>
                <c:pt idx="64">
                  <c:v>6.6500000000000004E-2</c:v>
                </c:pt>
                <c:pt idx="65">
                  <c:v>6.6500000000000004E-2</c:v>
                </c:pt>
                <c:pt idx="66">
                  <c:v>6.6500000000000004E-2</c:v>
                </c:pt>
                <c:pt idx="67">
                  <c:v>6.6500000000000004E-2</c:v>
                </c:pt>
                <c:pt idx="68">
                  <c:v>6.6500000000000004E-2</c:v>
                </c:pt>
                <c:pt idx="69">
                  <c:v>6.6500000000000004E-2</c:v>
                </c:pt>
                <c:pt idx="70">
                  <c:v>6.6500000000000004E-2</c:v>
                </c:pt>
                <c:pt idx="71">
                  <c:v>6.6500000000000004E-2</c:v>
                </c:pt>
                <c:pt idx="72">
                  <c:v>6.6500000000000004E-2</c:v>
                </c:pt>
                <c:pt idx="73">
                  <c:v>6.6500000000000004E-2</c:v>
                </c:pt>
                <c:pt idx="74">
                  <c:v>6.6500000000000004E-2</c:v>
                </c:pt>
                <c:pt idx="75">
                  <c:v>7.0599999999999996E-2</c:v>
                </c:pt>
                <c:pt idx="76">
                  <c:v>7.0599999999999996E-2</c:v>
                </c:pt>
                <c:pt idx="77">
                  <c:v>7.0699999999999999E-2</c:v>
                </c:pt>
                <c:pt idx="78">
                  <c:v>7.0699999999999999E-2</c:v>
                </c:pt>
                <c:pt idx="79">
                  <c:v>7.0699999999999999E-2</c:v>
                </c:pt>
                <c:pt idx="80">
                  <c:v>7.0699999999999999E-2</c:v>
                </c:pt>
                <c:pt idx="81">
                  <c:v>7.0699999999999999E-2</c:v>
                </c:pt>
                <c:pt idx="82">
                  <c:v>7.1900000000000006E-2</c:v>
                </c:pt>
                <c:pt idx="83">
                  <c:v>7.1900000000000006E-2</c:v>
                </c:pt>
                <c:pt idx="84">
                  <c:v>7.1900000000000006E-2</c:v>
                </c:pt>
                <c:pt idx="85">
                  <c:v>7.1900000000000006E-2</c:v>
                </c:pt>
                <c:pt idx="86">
                  <c:v>7.1900000000000006E-2</c:v>
                </c:pt>
                <c:pt idx="87">
                  <c:v>7.1900000000000006E-2</c:v>
                </c:pt>
                <c:pt idx="88">
                  <c:v>7.9699999999999993E-2</c:v>
                </c:pt>
                <c:pt idx="89">
                  <c:v>7.9699999999999993E-2</c:v>
                </c:pt>
                <c:pt idx="90">
                  <c:v>7.9699999999999993E-2</c:v>
                </c:pt>
                <c:pt idx="91">
                  <c:v>7.9699999999999993E-2</c:v>
                </c:pt>
                <c:pt idx="92">
                  <c:v>7.9699999999999993E-2</c:v>
                </c:pt>
                <c:pt idx="93">
                  <c:v>7.9699999999999993E-2</c:v>
                </c:pt>
                <c:pt idx="94">
                  <c:v>7.9699999999999993E-2</c:v>
                </c:pt>
                <c:pt idx="95">
                  <c:v>7.9699999999999993E-2</c:v>
                </c:pt>
                <c:pt idx="96">
                  <c:v>7.9699999999999993E-2</c:v>
                </c:pt>
                <c:pt idx="97">
                  <c:v>8.2299999999999998E-2</c:v>
                </c:pt>
                <c:pt idx="98">
                  <c:v>8.2299999999999998E-2</c:v>
                </c:pt>
                <c:pt idx="99">
                  <c:v>8.2299999999999998E-2</c:v>
                </c:pt>
                <c:pt idx="100">
                  <c:v>8.2299999999999998E-2</c:v>
                </c:pt>
                <c:pt idx="101">
                  <c:v>7.8200000000000006E-2</c:v>
                </c:pt>
                <c:pt idx="102">
                  <c:v>6.4899999999999999E-2</c:v>
                </c:pt>
                <c:pt idx="103">
                  <c:v>6.4899999999999999E-2</c:v>
                </c:pt>
                <c:pt idx="104">
                  <c:v>6.6000000000000003E-2</c:v>
                </c:pt>
                <c:pt idx="105">
                  <c:v>6.6000000000000003E-2</c:v>
                </c:pt>
                <c:pt idx="106">
                  <c:v>6.6000000000000003E-2</c:v>
                </c:pt>
                <c:pt idx="107">
                  <c:v>6.6000000000000003E-2</c:v>
                </c:pt>
                <c:pt idx="108">
                  <c:v>6.6000000000000003E-2</c:v>
                </c:pt>
                <c:pt idx="109">
                  <c:v>6.6000000000000003E-2</c:v>
                </c:pt>
                <c:pt idx="110">
                  <c:v>6.7799999999999999E-2</c:v>
                </c:pt>
                <c:pt idx="111">
                  <c:v>6.7799999999999999E-2</c:v>
                </c:pt>
                <c:pt idx="112">
                  <c:v>6.7799999999999999E-2</c:v>
                </c:pt>
                <c:pt idx="113">
                  <c:v>6.7799999999999999E-2</c:v>
                </c:pt>
                <c:pt idx="114">
                  <c:v>6.7799999999999999E-2</c:v>
                </c:pt>
              </c:numCache>
            </c:numRef>
          </c:xVal>
          <c:yVal>
            <c:numRef>
              <c:f>'[1]Raw data'!$H$279:$H$393</c:f>
              <c:numCache>
                <c:formatCode>0.0000</c:formatCode>
                <c:ptCount val="115"/>
                <c:pt idx="0">
                  <c:v>0.126</c:v>
                </c:pt>
                <c:pt idx="1">
                  <c:v>0.14449999999999999</c:v>
                </c:pt>
                <c:pt idx="2">
                  <c:v>0.1153</c:v>
                </c:pt>
                <c:pt idx="3">
                  <c:v>0.1094</c:v>
                </c:pt>
                <c:pt idx="4">
                  <c:v>0.10639999999999999</c:v>
                </c:pt>
                <c:pt idx="5">
                  <c:v>0.1074</c:v>
                </c:pt>
                <c:pt idx="6">
                  <c:v>9.8699999999999996E-2</c:v>
                </c:pt>
                <c:pt idx="7">
                  <c:v>0.104333333333333</c:v>
                </c:pt>
                <c:pt idx="8">
                  <c:v>0.1026</c:v>
                </c:pt>
                <c:pt idx="9">
                  <c:v>0.1095</c:v>
                </c:pt>
                <c:pt idx="10">
                  <c:v>0.12540000000000001</c:v>
                </c:pt>
                <c:pt idx="11">
                  <c:v>0.1275</c:v>
                </c:pt>
                <c:pt idx="12">
                  <c:v>0.13750000000000001</c:v>
                </c:pt>
                <c:pt idx="13">
                  <c:v>0.13900000000000001</c:v>
                </c:pt>
                <c:pt idx="14">
                  <c:v>0.13466666666666699</c:v>
                </c:pt>
                <c:pt idx="15">
                  <c:v>0.12889999999999999</c:v>
                </c:pt>
                <c:pt idx="16">
                  <c:v>0.13900000000000001</c:v>
                </c:pt>
                <c:pt idx="17">
                  <c:v>0.13100000000000001</c:v>
                </c:pt>
                <c:pt idx="18">
                  <c:v>0.13200000000000001</c:v>
                </c:pt>
                <c:pt idx="19">
                  <c:v>0.13466666666666699</c:v>
                </c:pt>
                <c:pt idx="20">
                  <c:v>0.1462</c:v>
                </c:pt>
                <c:pt idx="21">
                  <c:v>0.13550000000000001</c:v>
                </c:pt>
                <c:pt idx="22">
                  <c:v>0.13700000000000001</c:v>
                </c:pt>
                <c:pt idx="23">
                  <c:v>0.13</c:v>
                </c:pt>
                <c:pt idx="24">
                  <c:v>0.14000000000000001</c:v>
                </c:pt>
                <c:pt idx="25">
                  <c:v>0.14099999999999999</c:v>
                </c:pt>
                <c:pt idx="26">
                  <c:v>0.13930000000000001</c:v>
                </c:pt>
                <c:pt idx="27">
                  <c:v>0.13950000000000001</c:v>
                </c:pt>
                <c:pt idx="28">
                  <c:v>0.12989999999999999</c:v>
                </c:pt>
                <c:pt idx="29">
                  <c:v>0.13850000000000001</c:v>
                </c:pt>
                <c:pt idx="30">
                  <c:v>0.14399999999999999</c:v>
                </c:pt>
                <c:pt idx="31">
                  <c:v>0.13400000000000001</c:v>
                </c:pt>
                <c:pt idx="32">
                  <c:v>0.13450000000000001</c:v>
                </c:pt>
                <c:pt idx="33">
                  <c:v>0.1399</c:v>
                </c:pt>
                <c:pt idx="34">
                  <c:v>0.14799999999999999</c:v>
                </c:pt>
                <c:pt idx="35">
                  <c:v>0.13800000000000001</c:v>
                </c:pt>
                <c:pt idx="36">
                  <c:v>0.13400000000000001</c:v>
                </c:pt>
                <c:pt idx="37">
                  <c:v>0.14199999999999999</c:v>
                </c:pt>
                <c:pt idx="38">
                  <c:v>0.13900000000000001</c:v>
                </c:pt>
                <c:pt idx="39">
                  <c:v>0.1424</c:v>
                </c:pt>
                <c:pt idx="40">
                  <c:v>0.13489999999999999</c:v>
                </c:pt>
                <c:pt idx="41">
                  <c:v>0.14299999999999999</c:v>
                </c:pt>
                <c:pt idx="42">
                  <c:v>0.14749999999999999</c:v>
                </c:pt>
                <c:pt idx="43">
                  <c:v>0.1419</c:v>
                </c:pt>
                <c:pt idx="44">
                  <c:v>0.13916666666666699</c:v>
                </c:pt>
                <c:pt idx="45">
                  <c:v>0.14199999999999999</c:v>
                </c:pt>
                <c:pt idx="46">
                  <c:v>0.13800000000000001</c:v>
                </c:pt>
                <c:pt idx="47">
                  <c:v>0.15049999999999999</c:v>
                </c:pt>
                <c:pt idx="48">
                  <c:v>0.14099999999999999</c:v>
                </c:pt>
                <c:pt idx="49">
                  <c:v>0.14249999999999999</c:v>
                </c:pt>
                <c:pt idx="50">
                  <c:v>0.14249999999999999</c:v>
                </c:pt>
                <c:pt idx="51">
                  <c:v>0.14949999999999999</c:v>
                </c:pt>
                <c:pt idx="52">
                  <c:v>0.14050000000000001</c:v>
                </c:pt>
                <c:pt idx="53">
                  <c:v>0.145166666666667</c:v>
                </c:pt>
                <c:pt idx="54">
                  <c:v>0.14349999999999999</c:v>
                </c:pt>
                <c:pt idx="55">
                  <c:v>0.14249999999999999</c:v>
                </c:pt>
                <c:pt idx="56">
                  <c:v>0.15</c:v>
                </c:pt>
                <c:pt idx="57">
                  <c:v>0.1535</c:v>
                </c:pt>
                <c:pt idx="58">
                  <c:v>0.14874999999999999</c:v>
                </c:pt>
                <c:pt idx="59">
                  <c:v>0.13200000000000001</c:v>
                </c:pt>
                <c:pt idx="60">
                  <c:v>0.153</c:v>
                </c:pt>
                <c:pt idx="61">
                  <c:v>0.14849999999999999</c:v>
                </c:pt>
                <c:pt idx="62">
                  <c:v>0.14499999999999999</c:v>
                </c:pt>
                <c:pt idx="63">
                  <c:v>0.1525</c:v>
                </c:pt>
                <c:pt idx="64">
                  <c:v>0.14580000000000001</c:v>
                </c:pt>
                <c:pt idx="65">
                  <c:v>0.14424999999999999</c:v>
                </c:pt>
                <c:pt idx="66">
                  <c:v>0.147666666666667</c:v>
                </c:pt>
                <c:pt idx="67">
                  <c:v>0.14549999999999999</c:v>
                </c:pt>
                <c:pt idx="68">
                  <c:v>0.15</c:v>
                </c:pt>
                <c:pt idx="69">
                  <c:v>0.149666666666667</c:v>
                </c:pt>
                <c:pt idx="70">
                  <c:v>0.1555</c:v>
                </c:pt>
                <c:pt idx="71">
                  <c:v>0.15125</c:v>
                </c:pt>
                <c:pt idx="72">
                  <c:v>0.136333333333333</c:v>
                </c:pt>
                <c:pt idx="73">
                  <c:v>0.149666666666667</c:v>
                </c:pt>
                <c:pt idx="74">
                  <c:v>0.14829999999999999</c:v>
                </c:pt>
                <c:pt idx="75">
                  <c:v>0.13500000000000001</c:v>
                </c:pt>
                <c:pt idx="76">
                  <c:v>0.12533333333333299</c:v>
                </c:pt>
                <c:pt idx="77">
                  <c:v>0.1288</c:v>
                </c:pt>
                <c:pt idx="78">
                  <c:v>0.12</c:v>
                </c:pt>
                <c:pt idx="79">
                  <c:v>0.121833333333333</c:v>
                </c:pt>
                <c:pt idx="80">
                  <c:v>0.13500000000000001</c:v>
                </c:pt>
                <c:pt idx="81">
                  <c:v>0.127</c:v>
                </c:pt>
                <c:pt idx="82">
                  <c:v>0.1275</c:v>
                </c:pt>
                <c:pt idx="83">
                  <c:v>0.122</c:v>
                </c:pt>
                <c:pt idx="84">
                  <c:v>0.119066666666667</c:v>
                </c:pt>
                <c:pt idx="85">
                  <c:v>0.1225</c:v>
                </c:pt>
                <c:pt idx="86">
                  <c:v>0.122</c:v>
                </c:pt>
                <c:pt idx="87">
                  <c:v>0.149666666666667</c:v>
                </c:pt>
                <c:pt idx="88">
                  <c:v>0.15833333333333299</c:v>
                </c:pt>
                <c:pt idx="89">
                  <c:v>0.158</c:v>
                </c:pt>
                <c:pt idx="90">
                  <c:v>0.1615</c:v>
                </c:pt>
                <c:pt idx="91">
                  <c:v>0.16900000000000001</c:v>
                </c:pt>
                <c:pt idx="92">
                  <c:v>0.16243333333333301</c:v>
                </c:pt>
                <c:pt idx="93">
                  <c:v>0.153</c:v>
                </c:pt>
                <c:pt idx="94">
                  <c:v>0.1565</c:v>
                </c:pt>
                <c:pt idx="95">
                  <c:v>0.16</c:v>
                </c:pt>
                <c:pt idx="96">
                  <c:v>0.159</c:v>
                </c:pt>
                <c:pt idx="97">
                  <c:v>0.16200000000000001</c:v>
                </c:pt>
                <c:pt idx="98">
                  <c:v>0.16</c:v>
                </c:pt>
                <c:pt idx="99">
                  <c:v>0.15966666666666701</c:v>
                </c:pt>
                <c:pt idx="100">
                  <c:v>0.16</c:v>
                </c:pt>
                <c:pt idx="101">
                  <c:v>0.14899999999999999</c:v>
                </c:pt>
                <c:pt idx="102">
                  <c:v>0.14449999999999999</c:v>
                </c:pt>
                <c:pt idx="103">
                  <c:v>0.13664999999999999</c:v>
                </c:pt>
                <c:pt idx="104">
                  <c:v>0.1416</c:v>
                </c:pt>
                <c:pt idx="105">
                  <c:v>0.15</c:v>
                </c:pt>
                <c:pt idx="106">
                  <c:v>0.1328</c:v>
                </c:pt>
                <c:pt idx="107">
                  <c:v>0.140333333333333</c:v>
                </c:pt>
                <c:pt idx="108">
                  <c:v>0.1386</c:v>
                </c:pt>
                <c:pt idx="109">
                  <c:v>0.13800000000000001</c:v>
                </c:pt>
                <c:pt idx="110">
                  <c:v>0.13866666666666699</c:v>
                </c:pt>
                <c:pt idx="111">
                  <c:v>0.13866666666666699</c:v>
                </c:pt>
                <c:pt idx="112">
                  <c:v>0.134333333333333</c:v>
                </c:pt>
                <c:pt idx="113">
                  <c:v>0.139333333333333</c:v>
                </c:pt>
                <c:pt idx="114">
                  <c:v>0.13750000000000001</c:v>
                </c:pt>
              </c:numCache>
            </c:numRef>
          </c:yVal>
          <c:smooth val="0"/>
          <c:extLst>
            <c:ext xmlns:c16="http://schemas.microsoft.com/office/drawing/2014/chart" uri="{C3380CC4-5D6E-409C-BE32-E72D297353CC}">
              <c16:uniqueId val="{00000001-97D6-4E0A-BD08-9F2459F0FF4D}"/>
            </c:ext>
          </c:extLst>
        </c:ser>
        <c:dLbls>
          <c:showLegendKey val="0"/>
          <c:showVal val="0"/>
          <c:showCatName val="0"/>
          <c:showSerName val="0"/>
          <c:showPercent val="0"/>
          <c:showBubbleSize val="0"/>
        </c:dLbls>
        <c:axId val="976283316"/>
        <c:axId val="271358565"/>
      </c:scatterChart>
      <c:valAx>
        <c:axId val="976283316"/>
        <c:scaling>
          <c:orientation val="minMax"/>
          <c:min val="6.6600000000000006E-2"/>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271358565"/>
        <c:crosses val="autoZero"/>
        <c:crossBetween val="midCat"/>
      </c:valAx>
      <c:valAx>
        <c:axId val="271358565"/>
        <c:scaling>
          <c:orientation val="minMax"/>
          <c:min val="9.1115555550000005E-2"/>
        </c:scaling>
        <c:delete val="0"/>
        <c:axPos val="l"/>
        <c:majorGridlines>
          <c:spPr>
            <a:ln w="9525" cap="flat" cmpd="sng" algn="ctr">
              <a:solidFill>
                <a:schemeClr val="lt1">
                  <a:lumMod val="90200"/>
                </a:schemeClr>
              </a:solidFill>
              <a:round/>
            </a:ln>
            <a:effectLst/>
          </c:spPr>
        </c:majorGridlines>
        <c:numFmt formatCode="0.00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000" b="0" i="0" u="none" strike="noStrike" kern="1200" baseline="0">
                <a:solidFill>
                  <a:schemeClr val="tx1">
                    <a:lumMod val="65000"/>
                    <a:lumOff val="3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crossAx val="976283316"/>
        <c:crosses val="autoZero"/>
        <c:crossBetween val="midCat"/>
      </c:valAx>
      <c:spPr>
        <a:noFill/>
        <a:ln w="9525" cap="flat" cmpd="sng" algn="ctr">
          <a:solidFill>
            <a:schemeClr val="tx1">
              <a:lumMod val="15000"/>
              <a:lumOff val="85000"/>
            </a:schemeClr>
          </a:solidFill>
          <a:round/>
        </a:ln>
        <a:effectLst/>
      </c:spPr>
    </c:plotArea>
    <c:plotVisOnly val="1"/>
    <c:dispBlanksAs val="gap"/>
    <c:showDLblsOverMax val="0"/>
    <c:extLst>
      <c:ext uri="{0b15fc19-7d7d-44ad-8c2d-2c3a37ce22c3}">
        <chartProps xmlns="https://web.wps.cn/et/2018/main" chartId="{0f93fd79-9b86-4346-b8c6-52ec470f1284}"/>
      </c:ext>
    </c:extLst>
  </c:chart>
  <c:spPr>
    <a:solidFill>
      <a:schemeClr val="bg1"/>
    </a:solidFill>
    <a:ln w="9525" cap="flat" cmpd="sng" algn="ctr">
      <a:solidFill>
        <a:schemeClr val="tx1">
          <a:lumMod val="15000"/>
          <a:lumOff val="85000"/>
        </a:schemeClr>
      </a:solidFill>
      <a:round/>
    </a:ln>
    <a:effectLst/>
  </c:spPr>
  <c:txPr>
    <a:bodyPr/>
    <a:lstStyle/>
    <a:p>
      <a:pPr>
        <a:defRPr lang="en-US" sz="1000">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lgn="ct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r>
              <a:rPr lang="en-US" sz="1400" b="1" i="0" u="none" strike="noStrike" baseline="0">
                <a:effectLst/>
                <a:latin typeface="Bahnschrift" panose="020B0502040204020203" pitchFamily="34" charset="0"/>
                <a:sym typeface="Lexend" charset="0"/>
              </a:rPr>
              <a:t>Contract Allocation at Tri-County market </a:t>
            </a:r>
            <a:endParaRPr lang="en-US" sz="1400" b="1">
              <a:latin typeface="Bahnschrift" panose="020B0502040204020203" pitchFamily="34" charset="0"/>
              <a:ea typeface="Lexend" charset="0"/>
              <a:cs typeface="Lexend" charset="0"/>
              <a:sym typeface="Lexend" charset="0"/>
            </a:endParaRPr>
          </a:p>
        </c:rich>
      </c:tx>
      <c:layout>
        <c:manualLayout>
          <c:xMode val="edge"/>
          <c:yMode val="edge"/>
          <c:x val="0.11952079184365307"/>
          <c:y val="3.1038851661701141E-2"/>
        </c:manualLayout>
      </c:layout>
      <c:overlay val="0"/>
      <c:spPr>
        <a:noFill/>
        <a:ln>
          <a:noFill/>
        </a:ln>
        <a:effectLst/>
      </c:spPr>
      <c:txPr>
        <a:bodyPr rot="0" spcFirstLastPara="0" vertOverflow="ellipsis" vert="horz" wrap="square" anchor="ctr" anchorCtr="1"/>
        <a:lstStyle/>
        <a:p>
          <a:pPr algn="ctr" defTabSz="914400">
            <a:defRPr lang="en-US" sz="1400" b="1"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title>
    <c:autoTitleDeleted val="0"/>
    <c:plotArea>
      <c:layout>
        <c:manualLayout>
          <c:layoutTarget val="inner"/>
          <c:xMode val="edge"/>
          <c:yMode val="edge"/>
          <c:x val="9.0978515400334803E-2"/>
          <c:y val="0.13254211593005"/>
          <c:w val="0.88974499089253201"/>
          <c:h val="0.71112609575185404"/>
        </c:manualLayout>
      </c:layout>
      <c:barChart>
        <c:barDir val="bar"/>
        <c:grouping val="stacked"/>
        <c:varyColors val="0"/>
        <c:ser>
          <c:idx val="0"/>
          <c:order val="0"/>
          <c:tx>
            <c:strRef>
              <c:f>'Task 01. Market share'!$J$9</c:f>
              <c:strCache>
                <c:ptCount val="1"/>
                <c:pt idx="0">
                  <c:v>MEYER</c:v>
                </c:pt>
              </c:strCache>
            </c:strRef>
          </c:tx>
          <c:spPr>
            <a:solidFill>
              <a:srgbClr val="4D148C"/>
            </a:solidFill>
            <a:ln>
              <a:noFill/>
            </a:ln>
            <a:effectLst/>
          </c:spPr>
          <c:invertIfNegative val="0"/>
          <c:cat>
            <c:numRef>
              <c:f>'Task 01. Market share'!$K$8:$S$8</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01. Market share'!$K$9:$S$9</c:f>
              <c:numCache>
                <c:formatCode>0.00%</c:formatCode>
                <c:ptCount val="9"/>
                <c:pt idx="0">
                  <c:v>0.90300571865943502</c:v>
                </c:pt>
                <c:pt idx="1">
                  <c:v>0.45224061549253902</c:v>
                </c:pt>
                <c:pt idx="2">
                  <c:v>0.48792118837707699</c:v>
                </c:pt>
                <c:pt idx="3">
                  <c:v>0.54251201210699795</c:v>
                </c:pt>
                <c:pt idx="4">
                  <c:v>0.51130054683257098</c:v>
                </c:pt>
                <c:pt idx="5">
                  <c:v>0.53603521028377199</c:v>
                </c:pt>
                <c:pt idx="6">
                  <c:v>0.32359585886609699</c:v>
                </c:pt>
                <c:pt idx="7">
                  <c:v>0.29034344151603703</c:v>
                </c:pt>
                <c:pt idx="8">
                  <c:v>0.45904322135423897</c:v>
                </c:pt>
              </c:numCache>
            </c:numRef>
          </c:val>
          <c:extLst>
            <c:ext xmlns:c16="http://schemas.microsoft.com/office/drawing/2014/chart" uri="{C3380CC4-5D6E-409C-BE32-E72D297353CC}">
              <c16:uniqueId val="{00000000-E856-445E-8D9F-440CAB2E5FFE}"/>
            </c:ext>
          </c:extLst>
        </c:ser>
        <c:ser>
          <c:idx val="1"/>
          <c:order val="1"/>
          <c:tx>
            <c:strRef>
              <c:f>'Task 01. Market share'!$J$10</c:f>
              <c:strCache>
                <c:ptCount val="1"/>
                <c:pt idx="0">
                  <c:v>TRAUTH</c:v>
                </c:pt>
              </c:strCache>
            </c:strRef>
          </c:tx>
          <c:spPr>
            <a:solidFill>
              <a:srgbClr val="FF6200"/>
            </a:solidFill>
            <a:ln>
              <a:noFill/>
            </a:ln>
            <a:effectLst/>
          </c:spPr>
          <c:invertIfNegative val="0"/>
          <c:cat>
            <c:numRef>
              <c:f>'Task 01. Market share'!$K$8:$S$8</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01. Market share'!$K$10:$S$10</c:f>
              <c:numCache>
                <c:formatCode>0.00%</c:formatCode>
                <c:ptCount val="9"/>
                <c:pt idx="0">
                  <c:v>9.6994281340564897E-2</c:v>
                </c:pt>
                <c:pt idx="1">
                  <c:v>0.54775938450746098</c:v>
                </c:pt>
                <c:pt idx="2">
                  <c:v>0.51207881162292301</c:v>
                </c:pt>
                <c:pt idx="3">
                  <c:v>0.45748798789300199</c:v>
                </c:pt>
                <c:pt idx="4">
                  <c:v>0.48869945316742902</c:v>
                </c:pt>
                <c:pt idx="5">
                  <c:v>0.46396478971622801</c:v>
                </c:pt>
                <c:pt idx="6">
                  <c:v>0.67640414113390301</c:v>
                </c:pt>
                <c:pt idx="7">
                  <c:v>0.70965655848396303</c:v>
                </c:pt>
                <c:pt idx="8">
                  <c:v>0.54095677864576097</c:v>
                </c:pt>
              </c:numCache>
            </c:numRef>
          </c:val>
          <c:extLst>
            <c:ext xmlns:c16="http://schemas.microsoft.com/office/drawing/2014/chart" uri="{C3380CC4-5D6E-409C-BE32-E72D297353CC}">
              <c16:uniqueId val="{00000001-E856-445E-8D9F-440CAB2E5FFE}"/>
            </c:ext>
          </c:extLst>
        </c:ser>
        <c:dLbls>
          <c:showLegendKey val="0"/>
          <c:showVal val="0"/>
          <c:showCatName val="0"/>
          <c:showSerName val="0"/>
          <c:showPercent val="0"/>
          <c:showBubbleSize val="0"/>
        </c:dLbls>
        <c:gapWidth val="150"/>
        <c:overlap val="100"/>
        <c:axId val="577856790"/>
        <c:axId val="212560789"/>
      </c:barChart>
      <c:catAx>
        <c:axId val="57785679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Bahnschrift" panose="020B0502040204020203" pitchFamily="34" charset="0"/>
                <a:ea typeface="Lexend" charset="0"/>
                <a:cs typeface="Lexend" charset="0"/>
                <a:sym typeface="Lexend" charset="0"/>
              </a:defRPr>
            </a:pPr>
            <a:endParaRPr lang="en-US"/>
          </a:p>
        </c:txPr>
        <c:crossAx val="212560789"/>
        <c:crosses val="autoZero"/>
        <c:auto val="1"/>
        <c:lblAlgn val="ctr"/>
        <c:lblOffset val="100"/>
        <c:noMultiLvlLbl val="0"/>
      </c:catAx>
      <c:valAx>
        <c:axId val="212560789"/>
        <c:scaling>
          <c:orientation val="minMax"/>
          <c:max val="1"/>
        </c:scaling>
        <c:delete val="0"/>
        <c:axPos val="b"/>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1100" b="0" i="0" u="none" strike="noStrike" kern="1200" baseline="0">
                <a:solidFill>
                  <a:schemeClr val="tx1">
                    <a:lumMod val="65000"/>
                    <a:lumOff val="35000"/>
                  </a:schemeClr>
                </a:solidFill>
                <a:latin typeface="Bahnschrift" panose="020B0502040204020203" pitchFamily="34" charset="0"/>
                <a:ea typeface="Lexend" charset="0"/>
                <a:cs typeface="Lexend" charset="0"/>
                <a:sym typeface="Lexend" charset="0"/>
              </a:defRPr>
            </a:pPr>
            <a:endParaRPr lang="en-US"/>
          </a:p>
        </c:txPr>
        <c:crossAx val="577856790"/>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ayout>
        <c:manualLayout>
          <c:xMode val="edge"/>
          <c:yMode val="edge"/>
          <c:x val="0.61373648572887407"/>
          <c:y val="0.90893873109907586"/>
          <c:w val="0.30088278874693392"/>
          <c:h val="9.0674082406365902E-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
    <c:plotVisOnly val="1"/>
    <c:dispBlanksAs val="gap"/>
    <c:showDLblsOverMax val="0"/>
    <c:extLst>
      <c:ext uri="{0b15fc19-7d7d-44ad-8c2d-2c3a37ce22c3}">
        <chartProps xmlns="https://web.wps.cn/et/2018/main" chartId="{9426632b-8e66-4f7b-b26b-27fbab7e85e1}"/>
      </c:ext>
    </c:extLst>
  </c:chart>
  <c:spPr>
    <a:solidFill>
      <a:srgbClr val="CCCCCC"/>
    </a:solidFill>
    <a:ln w="9525" cap="flat" cmpd="sng" algn="ctr">
      <a:solidFill>
        <a:srgbClr val="4D148C"/>
      </a:solidFill>
      <a:round/>
    </a:ln>
    <a:effectLst/>
  </c:spPr>
  <c:txPr>
    <a:bodyPr/>
    <a:lstStyle/>
    <a:p>
      <a:pPr>
        <a:defRPr lang="en-US">
          <a:latin typeface="Lexend" charset="0"/>
          <a:ea typeface="Lexend" charset="0"/>
          <a:cs typeface="Lexend" charset="0"/>
          <a:sym typeface="Lexend"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Bahnschrift" panose="020B0502040204020203" pitchFamily="34" charset="0"/>
                <a:ea typeface="Lexend" charset="0"/>
                <a:cs typeface="Lexend" charset="0"/>
                <a:sym typeface="Lexend" charset="0"/>
              </a:defRPr>
            </a:pPr>
            <a:r>
              <a:rPr lang="en-US" sz="1400" b="1" i="0" u="none" strike="noStrike" baseline="0">
                <a:effectLst/>
                <a:latin typeface="Bahnschrift" panose="020B0502040204020203" pitchFamily="34" charset="0"/>
                <a:sym typeface="Lexend" charset="0"/>
              </a:rPr>
              <a:t>Repeat Winner Trend</a:t>
            </a:r>
            <a:endParaRPr lang="en-US" sz="1400" b="1">
              <a:latin typeface="Bahnschrift" panose="020B0502040204020203" pitchFamily="34" charset="0"/>
            </a:endParaRPr>
          </a:p>
        </c:rich>
      </c:tx>
      <c:layout>
        <c:manualLayout>
          <c:xMode val="edge"/>
          <c:yMode val="edge"/>
          <c:x val="0.30960140621970345"/>
          <c:y val="3.3450928254763227E-3"/>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Bahnschrift" panose="020B0502040204020203" pitchFamily="34" charset="0"/>
              <a:ea typeface="Lexend" charset="0"/>
              <a:cs typeface="Lexend" charset="0"/>
              <a:sym typeface="Lexend" charset="0"/>
            </a:defRPr>
          </a:pPr>
          <a:endParaRPr lang="en-US"/>
        </a:p>
      </c:txPr>
    </c:title>
    <c:autoTitleDeleted val="0"/>
    <c:plotArea>
      <c:layout>
        <c:manualLayout>
          <c:layoutTarget val="inner"/>
          <c:xMode val="edge"/>
          <c:yMode val="edge"/>
          <c:x val="7.00785219399538E-2"/>
          <c:y val="0.11431560071727399"/>
          <c:w val="0.89703464203233296"/>
          <c:h val="0.74542737597130904"/>
        </c:manualLayout>
      </c:layout>
      <c:lineChart>
        <c:grouping val="standard"/>
        <c:varyColors val="0"/>
        <c:ser>
          <c:idx val="0"/>
          <c:order val="0"/>
          <c:tx>
            <c:strRef>
              <c:f>'Task 2 Incumbency rate'!$I$15</c:f>
              <c:strCache>
                <c:ptCount val="1"/>
                <c:pt idx="0">
                  <c:v>Tri-County</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0-634E-4460-8DB6-714AE0CD189D}"/>
                </c:ext>
              </c:extLst>
            </c:dLbl>
            <c:dLbl>
              <c:idx val="1"/>
              <c:delete val="1"/>
              <c:extLst>
                <c:ext xmlns:c15="http://schemas.microsoft.com/office/drawing/2012/chart" uri="{CE6537A1-D6FC-4f65-9D91-7224C49458BB}"/>
                <c:ext xmlns:c16="http://schemas.microsoft.com/office/drawing/2014/chart" uri="{C3380CC4-5D6E-409C-BE32-E72D297353CC}">
                  <c16:uniqueId val="{00000000-3924-4CE6-A73A-4AF4B808524B}"/>
                </c:ext>
              </c:extLst>
            </c:dLbl>
            <c:dLbl>
              <c:idx val="2"/>
              <c:delete val="1"/>
              <c:extLst>
                <c:ext xmlns:c15="http://schemas.microsoft.com/office/drawing/2012/chart" uri="{CE6537A1-D6FC-4f65-9D91-7224C49458BB}"/>
                <c:ext xmlns:c16="http://schemas.microsoft.com/office/drawing/2014/chart" uri="{C3380CC4-5D6E-409C-BE32-E72D297353CC}">
                  <c16:uniqueId val="{00000001-634E-4460-8DB6-714AE0CD189D}"/>
                </c:ext>
              </c:extLst>
            </c:dLbl>
            <c:dLbl>
              <c:idx val="3"/>
              <c:layout>
                <c:manualLayout>
                  <c:x val="-8.5277455708762662E-2"/>
                  <c:y val="-6.6536346874684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E-4460-8DB6-714AE0CD189D}"/>
                </c:ext>
              </c:extLst>
            </c:dLbl>
            <c:dLbl>
              <c:idx val="4"/>
              <c:delete val="1"/>
              <c:extLst>
                <c:ext xmlns:c15="http://schemas.microsoft.com/office/drawing/2012/chart" uri="{CE6537A1-D6FC-4f65-9D91-7224C49458BB}"/>
                <c:ext xmlns:c16="http://schemas.microsoft.com/office/drawing/2014/chart" uri="{C3380CC4-5D6E-409C-BE32-E72D297353CC}">
                  <c16:uniqueId val="{00000004-634E-4460-8DB6-714AE0CD189D}"/>
                </c:ext>
              </c:extLst>
            </c:dLbl>
            <c:dLbl>
              <c:idx val="5"/>
              <c:layout>
                <c:manualLayout>
                  <c:x val="-6.0263307286229702E-2"/>
                  <c:y val="-6.65363468746849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E-4460-8DB6-714AE0CD189D}"/>
                </c:ext>
              </c:extLst>
            </c:dLbl>
            <c:dLbl>
              <c:idx val="6"/>
              <c:delete val="1"/>
              <c:extLst>
                <c:ext xmlns:c15="http://schemas.microsoft.com/office/drawing/2012/chart" uri="{CE6537A1-D6FC-4f65-9D91-7224C49458BB}"/>
                <c:ext xmlns:c16="http://schemas.microsoft.com/office/drawing/2014/chart" uri="{C3380CC4-5D6E-409C-BE32-E72D297353CC}">
                  <c16:uniqueId val="{00000001-3924-4CE6-A73A-4AF4B808524B}"/>
                </c:ext>
              </c:extLst>
            </c:dLbl>
            <c:dLbl>
              <c:idx val="7"/>
              <c:delete val="1"/>
              <c:extLst>
                <c:ext xmlns:c15="http://schemas.microsoft.com/office/drawing/2012/chart" uri="{CE6537A1-D6FC-4f65-9D91-7224C49458BB}"/>
                <c:ext xmlns:c16="http://schemas.microsoft.com/office/drawing/2014/chart" uri="{C3380CC4-5D6E-409C-BE32-E72D297353CC}">
                  <c16:uniqueId val="{00000002-3924-4CE6-A73A-4AF4B808524B}"/>
                </c:ext>
              </c:extLst>
            </c:dLbl>
            <c:dLbl>
              <c:idx val="8"/>
              <c:delete val="1"/>
              <c:extLst>
                <c:ext xmlns:c15="http://schemas.microsoft.com/office/drawing/2012/chart" uri="{CE6537A1-D6FC-4f65-9D91-7224C49458BB}"/>
                <c:ext xmlns:c16="http://schemas.microsoft.com/office/drawing/2014/chart" uri="{C3380CC4-5D6E-409C-BE32-E72D297353CC}">
                  <c16:uniqueId val="{00000005-634E-4460-8DB6-714AE0CD189D}"/>
                </c:ext>
              </c:extLst>
            </c:dLbl>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baseline="0">
                    <a:solidFill>
                      <a:srgbClr val="FF0000"/>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rate'!$J$15:$R$15</c:f>
              <c:numCache>
                <c:formatCode>0.00%</c:formatCode>
                <c:ptCount val="9"/>
                <c:pt idx="0">
                  <c:v>0</c:v>
                </c:pt>
                <c:pt idx="1">
                  <c:v>0.66666666666666696</c:v>
                </c:pt>
                <c:pt idx="2">
                  <c:v>0.92307692307692302</c:v>
                </c:pt>
                <c:pt idx="3">
                  <c:v>1</c:v>
                </c:pt>
                <c:pt idx="4">
                  <c:v>0.92307692307692302</c:v>
                </c:pt>
                <c:pt idx="5">
                  <c:v>1</c:v>
                </c:pt>
                <c:pt idx="6">
                  <c:v>0.69230769230769196</c:v>
                </c:pt>
                <c:pt idx="7">
                  <c:v>0.71428571428571397</c:v>
                </c:pt>
                <c:pt idx="8">
                  <c:v>0.92307692307692302</c:v>
                </c:pt>
              </c:numCache>
            </c:numRef>
          </c:val>
          <c:smooth val="0"/>
          <c:extLst>
            <c:ext xmlns:c16="http://schemas.microsoft.com/office/drawing/2014/chart" uri="{C3380CC4-5D6E-409C-BE32-E72D297353CC}">
              <c16:uniqueId val="{00000003-3924-4CE6-A73A-4AF4B808524B}"/>
            </c:ext>
          </c:extLst>
        </c:ser>
        <c:ser>
          <c:idx val="1"/>
          <c:order val="1"/>
          <c:tx>
            <c:strRef>
              <c:f>'Task 2 Incumbency rate'!$I$16</c:f>
              <c:strCache>
                <c:ptCount val="1"/>
                <c:pt idx="0">
                  <c:v>Surround</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delete val="1"/>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rate'!$J$16:$R$16</c:f>
              <c:numCache>
                <c:formatCode>0.00%</c:formatCode>
                <c:ptCount val="9"/>
                <c:pt idx="0">
                  <c:v>0</c:v>
                </c:pt>
                <c:pt idx="1">
                  <c:v>0.57142857142857095</c:v>
                </c:pt>
                <c:pt idx="2">
                  <c:v>0.59375</c:v>
                </c:pt>
                <c:pt idx="3">
                  <c:v>0.51351351351351304</c:v>
                </c:pt>
                <c:pt idx="4">
                  <c:v>0.72972972972973005</c:v>
                </c:pt>
                <c:pt idx="5">
                  <c:v>0.67567567567567599</c:v>
                </c:pt>
                <c:pt idx="6">
                  <c:v>0.60526315789473695</c:v>
                </c:pt>
                <c:pt idx="7">
                  <c:v>0.68571428571428605</c:v>
                </c:pt>
                <c:pt idx="8">
                  <c:v>0.6</c:v>
                </c:pt>
              </c:numCache>
            </c:numRef>
          </c:val>
          <c:smooth val="0"/>
          <c:extLst>
            <c:ext xmlns:c16="http://schemas.microsoft.com/office/drawing/2014/chart" uri="{C3380CC4-5D6E-409C-BE32-E72D297353CC}">
              <c16:uniqueId val="{00000004-3924-4CE6-A73A-4AF4B808524B}"/>
            </c:ext>
          </c:extLst>
        </c:ser>
        <c:ser>
          <c:idx val="2"/>
          <c:order val="2"/>
          <c:tx>
            <c:strRef>
              <c:f>'Task 2 Incumbency rate'!$I$17</c:f>
              <c:strCache>
                <c:ptCount val="1"/>
              </c:strCache>
            </c:strRef>
          </c:tx>
          <c:spPr>
            <a:ln w="28575" cap="rnd">
              <a:solidFill>
                <a:schemeClr val="accent3"/>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3924-4CE6-A73A-4AF4B808524B}"/>
                </c:ext>
              </c:extLst>
            </c:dLbl>
            <c:dLbl>
              <c:idx val="1"/>
              <c:delete val="1"/>
              <c:extLst>
                <c:ext xmlns:c15="http://schemas.microsoft.com/office/drawing/2012/chart" uri="{CE6537A1-D6FC-4f65-9D91-7224C49458BB}"/>
                <c:ext xmlns:c16="http://schemas.microsoft.com/office/drawing/2014/chart" uri="{C3380CC4-5D6E-409C-BE32-E72D297353CC}">
                  <c16:uniqueId val="{00000006-3924-4CE6-A73A-4AF4B808524B}"/>
                </c:ext>
              </c:extLst>
            </c:dLbl>
            <c:dLbl>
              <c:idx val="2"/>
              <c:delete val="1"/>
              <c:extLst>
                <c:ext xmlns:c15="http://schemas.microsoft.com/office/drawing/2012/chart" uri="{CE6537A1-D6FC-4f65-9D91-7224C49458BB}"/>
                <c:ext xmlns:c16="http://schemas.microsoft.com/office/drawing/2014/chart" uri="{C3380CC4-5D6E-409C-BE32-E72D297353CC}">
                  <c16:uniqueId val="{00000007-3924-4CE6-A73A-4AF4B808524B}"/>
                </c:ext>
              </c:extLst>
            </c:dLbl>
            <c:dLbl>
              <c:idx val="3"/>
              <c:delete val="1"/>
              <c:extLst>
                <c:ext xmlns:c15="http://schemas.microsoft.com/office/drawing/2012/chart" uri="{CE6537A1-D6FC-4f65-9D91-7224C49458BB}"/>
                <c:ext xmlns:c16="http://schemas.microsoft.com/office/drawing/2014/chart" uri="{C3380CC4-5D6E-409C-BE32-E72D297353CC}">
                  <c16:uniqueId val="{00000008-3924-4CE6-A73A-4AF4B808524B}"/>
                </c:ext>
              </c:extLst>
            </c:dLbl>
            <c:dLbl>
              <c:idx val="4"/>
              <c:delete val="1"/>
              <c:extLst>
                <c:ext xmlns:c15="http://schemas.microsoft.com/office/drawing/2012/chart" uri="{CE6537A1-D6FC-4f65-9D91-7224C49458BB}"/>
                <c:ext xmlns:c16="http://schemas.microsoft.com/office/drawing/2014/chart" uri="{C3380CC4-5D6E-409C-BE32-E72D297353CC}">
                  <c16:uniqueId val="{00000009-3924-4CE6-A73A-4AF4B808524B}"/>
                </c:ext>
              </c:extLst>
            </c:dLbl>
            <c:dLbl>
              <c:idx val="5"/>
              <c:delete val="1"/>
              <c:extLst>
                <c:ext xmlns:c15="http://schemas.microsoft.com/office/drawing/2012/chart" uri="{CE6537A1-D6FC-4f65-9D91-7224C49458BB}"/>
                <c:ext xmlns:c16="http://schemas.microsoft.com/office/drawing/2014/chart" uri="{C3380CC4-5D6E-409C-BE32-E72D297353CC}">
                  <c16:uniqueId val="{0000000A-3924-4CE6-A73A-4AF4B808524B}"/>
                </c:ext>
              </c:extLst>
            </c:dLbl>
            <c:dLbl>
              <c:idx val="6"/>
              <c:delete val="1"/>
              <c:extLst>
                <c:ext xmlns:c15="http://schemas.microsoft.com/office/drawing/2012/chart" uri="{CE6537A1-D6FC-4f65-9D91-7224C49458BB}"/>
                <c:ext xmlns:c16="http://schemas.microsoft.com/office/drawing/2014/chart" uri="{C3380CC4-5D6E-409C-BE32-E72D297353CC}">
                  <c16:uniqueId val="{0000000B-3924-4CE6-A73A-4AF4B808524B}"/>
                </c:ext>
              </c:extLst>
            </c:dLbl>
            <c:dLbl>
              <c:idx val="7"/>
              <c:delete val="1"/>
              <c:extLst>
                <c:ext xmlns:c15="http://schemas.microsoft.com/office/drawing/2012/chart" uri="{CE6537A1-D6FC-4f65-9D91-7224C49458BB}"/>
                <c:ext xmlns:c16="http://schemas.microsoft.com/office/drawing/2014/chart" uri="{C3380CC4-5D6E-409C-BE32-E72D297353CC}">
                  <c16:uniqueId val="{0000000C-3924-4CE6-A73A-4AF4B808524B}"/>
                </c:ext>
              </c:extLst>
            </c:dLbl>
            <c:dLbl>
              <c:idx val="8"/>
              <c:layout>
                <c:manualLayout>
                  <c:x val="-1.3405001166451642E-2"/>
                  <c:y val="-1.07897084871865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924-4CE6-A73A-4AF4B808524B}"/>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Lexend" charset="0"/>
                    <a:ea typeface="Lexend" charset="0"/>
                    <a:cs typeface="Lexend" charset="0"/>
                    <a:sym typeface="Lexend"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'Task 2 Incumbency rate'!$J$14:$R$14</c:f>
              <c:numCache>
                <c:formatCode>General</c:formatCode>
                <c:ptCount val="9"/>
                <c:pt idx="0">
                  <c:v>1983</c:v>
                </c:pt>
                <c:pt idx="1">
                  <c:v>1984</c:v>
                </c:pt>
                <c:pt idx="2">
                  <c:v>1985</c:v>
                </c:pt>
                <c:pt idx="3">
                  <c:v>1986</c:v>
                </c:pt>
                <c:pt idx="4">
                  <c:v>1987</c:v>
                </c:pt>
                <c:pt idx="5">
                  <c:v>1988</c:v>
                </c:pt>
                <c:pt idx="6">
                  <c:v>1989</c:v>
                </c:pt>
                <c:pt idx="7">
                  <c:v>1990</c:v>
                </c:pt>
                <c:pt idx="8">
                  <c:v>1991</c:v>
                </c:pt>
              </c:numCache>
            </c:numRef>
          </c:cat>
          <c:val>
            <c:numRef>
              <c:f>'Task 2 Incumbency rate'!$J$17:$R$17</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0E-3924-4CE6-A73A-4AF4B808524B}"/>
            </c:ext>
          </c:extLst>
        </c:ser>
        <c:dLbls>
          <c:dLblPos val="t"/>
          <c:showLegendKey val="0"/>
          <c:showVal val="1"/>
          <c:showCatName val="0"/>
          <c:showSerName val="0"/>
          <c:showPercent val="0"/>
          <c:showBubbleSize val="0"/>
        </c:dLbls>
        <c:marker val="1"/>
        <c:smooth val="0"/>
        <c:axId val="81623770"/>
        <c:axId val="751108677"/>
      </c:lineChart>
      <c:catAx>
        <c:axId val="8162377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200" b="0" i="0" u="none" strike="noStrike" kern="1200" baseline="0">
                <a:solidFill>
                  <a:schemeClr val="tx1">
                    <a:lumMod val="65000"/>
                    <a:lumOff val="35000"/>
                  </a:schemeClr>
                </a:solidFill>
                <a:latin typeface="Bahnschrift" panose="020B0502040204020203" pitchFamily="34" charset="0"/>
                <a:ea typeface="Lexend" charset="0"/>
                <a:cs typeface="Lexend" charset="0"/>
                <a:sym typeface="Lexend" charset="0"/>
              </a:defRPr>
            </a:pPr>
            <a:endParaRPr lang="en-US"/>
          </a:p>
        </c:txPr>
        <c:crossAx val="751108677"/>
        <c:crosses val="autoZero"/>
        <c:auto val="1"/>
        <c:lblAlgn val="ctr"/>
        <c:lblOffset val="100"/>
        <c:noMultiLvlLbl val="0"/>
      </c:catAx>
      <c:valAx>
        <c:axId val="751108677"/>
        <c:scaling>
          <c:orientation val="minMax"/>
        </c:scaling>
        <c:delete val="1"/>
        <c:axPos val="l"/>
        <c:numFmt formatCode="0.00%" sourceLinked="1"/>
        <c:majorTickMark val="none"/>
        <c:minorTickMark val="none"/>
        <c:tickLblPos val="nextTo"/>
        <c:crossAx val="81623770"/>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Entry>
      <c:legendEntry>
        <c:idx val="2"/>
        <c:delete val="1"/>
      </c:legendEntry>
      <c:layout>
        <c:manualLayout>
          <c:xMode val="edge"/>
          <c:yMode val="edge"/>
          <c:x val="0.57179922428280605"/>
          <c:y val="0.66518253957141904"/>
          <c:w val="0.39369964871768598"/>
          <c:h val="9.23421502702019E-2"/>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Lexend" charset="0"/>
              <a:ea typeface="Lexend" charset="0"/>
              <a:cs typeface="Lexend" charset="0"/>
              <a:sym typeface="Lexend" charset="0"/>
            </a:defRPr>
          </a:pPr>
          <a:endParaRPr lang="en-US"/>
        </a:p>
      </c:txPr>
    </c:legend>
    <c:plotVisOnly val="1"/>
    <c:dispBlanksAs val="gap"/>
    <c:showDLblsOverMax val="0"/>
    <c:extLst>
      <c:ext uri="{0b15fc19-7d7d-44ad-8c2d-2c3a37ce22c3}">
        <chartProps xmlns="https://web.wps.cn/et/2018/main" chartId="{ea2a5cc2-79d5-4c67-ba97-89a86c554aa4}"/>
      </c:ext>
    </c:extLst>
  </c:chart>
  <c:spPr>
    <a:solidFill>
      <a:srgbClr val="CCCCCC"/>
    </a:solidFill>
    <a:ln w="9525" cap="flat" cmpd="sng" algn="ctr">
      <a:solidFill>
        <a:srgbClr val="4D148C"/>
      </a:solidFill>
      <a:round/>
    </a:ln>
    <a:effectLst/>
  </c:spPr>
  <c:txPr>
    <a:bodyPr/>
    <a:lstStyle/>
    <a:p>
      <a:pPr>
        <a:defRPr lang="en-US">
          <a:latin typeface="Lexend" charset="0"/>
          <a:ea typeface="Lexend" charset="0"/>
          <a:cs typeface="Lexend" charset="0"/>
          <a:sym typeface="Lexend"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lang="en-US" sz="1800">
                <a:solidFill>
                  <a:srgbClr val="0070C0"/>
                </a:solidFill>
                <a:latin typeface="Bahnschrift" panose="020B0502040204020203" pitchFamily="34" charset="0"/>
                <a:ea typeface="Times New Roman" panose="02020603050405020304" charset="0"/>
                <a:cs typeface="Times New Roman" panose="02020603050405020304" charset="0"/>
                <a:sym typeface="Times New Roman" panose="02020603050405020304" charset="0"/>
              </a:rPr>
              <a:t>Surround</a:t>
            </a:r>
            <a:r>
              <a:rPr lang="en-US" sz="1400">
                <a:latin typeface="Bahnschrift" panose="020B0502040204020203" pitchFamily="34" charset="0"/>
                <a:ea typeface="Times New Roman" panose="02020603050405020304" charset="0"/>
                <a:cs typeface="Times New Roman" panose="02020603050405020304" charset="0"/>
                <a:sym typeface="Times New Roman" panose="02020603050405020304" charset="0"/>
              </a:rPr>
              <a:t>: Prices rise</a:t>
            </a:r>
            <a:r>
              <a:rPr lang="en-US" sz="1400" baseline="0">
                <a:latin typeface="Bahnschrift" panose="020B0502040204020203" pitchFamily="34" charset="0"/>
                <a:ea typeface="Times New Roman" panose="02020603050405020304" charset="0"/>
                <a:cs typeface="Times New Roman" panose="02020603050405020304" charset="0"/>
                <a:sym typeface="Times New Roman" panose="02020603050405020304" charset="0"/>
              </a:rPr>
              <a:t> with Costs</a:t>
            </a:r>
          </a:p>
          <a:p>
            <a:pPr defTabSz="914400">
              <a:defRPr/>
            </a:pPr>
            <a:r>
              <a:rPr lang="en-US" sz="1800" b="1" i="0" u="none" strike="noStrike" baseline="0">
                <a:solidFill>
                  <a:srgbClr val="00B050"/>
                </a:solidFill>
                <a:effectLst/>
                <a:latin typeface="Bahnschrift" panose="020B0502040204020203" pitchFamily="34" charset="0"/>
                <a:sym typeface="Times New Roman" panose="02020603050405020304" charset="0"/>
              </a:rPr>
              <a:t>Responsive</a:t>
            </a:r>
            <a:r>
              <a:rPr lang="en-US" sz="1800" b="1" i="0" u="none" strike="noStrike" baseline="0">
                <a:effectLst/>
                <a:latin typeface="Bahnschrift" panose="020B0502040204020203" pitchFamily="34" charset="0"/>
                <a:sym typeface="Times New Roman" panose="02020603050405020304" charset="0"/>
              </a:rPr>
              <a:t> </a:t>
            </a:r>
            <a:endParaRPr lang="en-US" sz="1800">
              <a:latin typeface="Bahnschrift" panose="020B0502040204020203" pitchFamily="34" charset="0"/>
              <a:ea typeface="Times New Roman" panose="02020603050405020304" charset="0"/>
              <a:cs typeface="Times New Roman" panose="02020603050405020304" charset="0"/>
              <a:sym typeface="Times New Roman" panose="02020603050405020304" charset="0"/>
            </a:endParaRPr>
          </a:p>
        </c:rich>
      </c:tx>
      <c:overlay val="0"/>
      <c:spPr>
        <a:noFill/>
        <a:ln>
          <a:noFill/>
        </a:ln>
        <a:effectLst/>
      </c:spPr>
      <c:txPr>
        <a:bodyPr rot="0" spcFirstLastPara="0" vertOverflow="ellipsis" vert="horz" wrap="square" anchor="ctr" anchorCtr="1"/>
        <a:lstStyle/>
        <a:p>
          <a:pPr defTabSz="914400">
            <a:defRPr lang="en-US" sz="1440" b="1"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flat">
                <a:solidFill>
                  <a:srgbClr val="00B050"/>
                </a:solidFill>
                <a:prstDash val="solid"/>
                <a:bevel/>
                <a:headEnd type="oval"/>
                <a:tailEnd type="triangle" w="lg" len="lg"/>
              </a:ln>
              <a:effectLst/>
            </c:spPr>
            <c:trendlineType val="linear"/>
            <c:dispRSqr val="0"/>
            <c:dispEq val="0"/>
          </c:trendline>
          <c:xVal>
            <c:numRef>
              <c:f>'[1]Raw data'!$G$2:$G$278</c:f>
              <c:numCache>
                <c:formatCode>General</c:formatCode>
                <c:ptCount val="277"/>
                <c:pt idx="0">
                  <c:v>7.6399999999999996E-2</c:v>
                </c:pt>
                <c:pt idx="1">
                  <c:v>7.6399999999999996E-2</c:v>
                </c:pt>
                <c:pt idx="2">
                  <c:v>7.6399999999999996E-2</c:v>
                </c:pt>
                <c:pt idx="3">
                  <c:v>7.6399999999999996E-2</c:v>
                </c:pt>
                <c:pt idx="4">
                  <c:v>7.6399999999999996E-2</c:v>
                </c:pt>
                <c:pt idx="5">
                  <c:v>7.6399999999999996E-2</c:v>
                </c:pt>
                <c:pt idx="6">
                  <c:v>7.6399999999999996E-2</c:v>
                </c:pt>
                <c:pt idx="7">
                  <c:v>7.6399999999999996E-2</c:v>
                </c:pt>
                <c:pt idx="8">
                  <c:v>7.6399999999999996E-2</c:v>
                </c:pt>
                <c:pt idx="9">
                  <c:v>7.6300000000000007E-2</c:v>
                </c:pt>
                <c:pt idx="10">
                  <c:v>7.6300000000000007E-2</c:v>
                </c:pt>
                <c:pt idx="11">
                  <c:v>7.6300000000000007E-2</c:v>
                </c:pt>
                <c:pt idx="12">
                  <c:v>7.6300000000000007E-2</c:v>
                </c:pt>
                <c:pt idx="13">
                  <c:v>7.6399999999999996E-2</c:v>
                </c:pt>
                <c:pt idx="14">
                  <c:v>7.6399999999999996E-2</c:v>
                </c:pt>
                <c:pt idx="15">
                  <c:v>7.6399999999999996E-2</c:v>
                </c:pt>
                <c:pt idx="16">
                  <c:v>7.6399999999999996E-2</c:v>
                </c:pt>
                <c:pt idx="17">
                  <c:v>7.6399999999999996E-2</c:v>
                </c:pt>
                <c:pt idx="18">
                  <c:v>7.6399999999999996E-2</c:v>
                </c:pt>
                <c:pt idx="19">
                  <c:v>7.6399999999999996E-2</c:v>
                </c:pt>
                <c:pt idx="20">
                  <c:v>7.6399999999999996E-2</c:v>
                </c:pt>
                <c:pt idx="21">
                  <c:v>7.6300000000000007E-2</c:v>
                </c:pt>
                <c:pt idx="22">
                  <c:v>7.6300000000000007E-2</c:v>
                </c:pt>
                <c:pt idx="23">
                  <c:v>7.6300000000000007E-2</c:v>
                </c:pt>
                <c:pt idx="24">
                  <c:v>7.6300000000000007E-2</c:v>
                </c:pt>
                <c:pt idx="25">
                  <c:v>7.6300000000000007E-2</c:v>
                </c:pt>
                <c:pt idx="26">
                  <c:v>7.6300000000000007E-2</c:v>
                </c:pt>
                <c:pt idx="27">
                  <c:v>7.6399999999999996E-2</c:v>
                </c:pt>
                <c:pt idx="28">
                  <c:v>7.4099999999999999E-2</c:v>
                </c:pt>
                <c:pt idx="29">
                  <c:v>7.3999999999999996E-2</c:v>
                </c:pt>
                <c:pt idx="30">
                  <c:v>7.3999999999999996E-2</c:v>
                </c:pt>
                <c:pt idx="31">
                  <c:v>7.3999999999999996E-2</c:v>
                </c:pt>
                <c:pt idx="32">
                  <c:v>7.4099999999999999E-2</c:v>
                </c:pt>
                <c:pt idx="33">
                  <c:v>7.4099999999999999E-2</c:v>
                </c:pt>
                <c:pt idx="34">
                  <c:v>7.4099999999999999E-2</c:v>
                </c:pt>
                <c:pt idx="35">
                  <c:v>7.4099999999999999E-2</c:v>
                </c:pt>
                <c:pt idx="36">
                  <c:v>7.4099999999999999E-2</c:v>
                </c:pt>
                <c:pt idx="37">
                  <c:v>7.4099999999999999E-2</c:v>
                </c:pt>
                <c:pt idx="38">
                  <c:v>7.4099999999999999E-2</c:v>
                </c:pt>
                <c:pt idx="39">
                  <c:v>7.4099999999999999E-2</c:v>
                </c:pt>
                <c:pt idx="40">
                  <c:v>7.4099999999999999E-2</c:v>
                </c:pt>
                <c:pt idx="41">
                  <c:v>7.3999999999999996E-2</c:v>
                </c:pt>
                <c:pt idx="42">
                  <c:v>7.3999999999999996E-2</c:v>
                </c:pt>
                <c:pt idx="43">
                  <c:v>7.3999999999999996E-2</c:v>
                </c:pt>
                <c:pt idx="44">
                  <c:v>7.3999999999999996E-2</c:v>
                </c:pt>
                <c:pt idx="45">
                  <c:v>7.3999999999999996E-2</c:v>
                </c:pt>
                <c:pt idx="46">
                  <c:v>7.4099999999999999E-2</c:v>
                </c:pt>
                <c:pt idx="47">
                  <c:v>7.4099999999999999E-2</c:v>
                </c:pt>
                <c:pt idx="48">
                  <c:v>7.4099999999999999E-2</c:v>
                </c:pt>
                <c:pt idx="49">
                  <c:v>7.4099999999999999E-2</c:v>
                </c:pt>
                <c:pt idx="50">
                  <c:v>7.4099999999999999E-2</c:v>
                </c:pt>
                <c:pt idx="51">
                  <c:v>7.4099999999999999E-2</c:v>
                </c:pt>
                <c:pt idx="52">
                  <c:v>7.4099999999999999E-2</c:v>
                </c:pt>
                <c:pt idx="53">
                  <c:v>7.4099999999999999E-2</c:v>
                </c:pt>
                <c:pt idx="54">
                  <c:v>7.4099999999999999E-2</c:v>
                </c:pt>
                <c:pt idx="55">
                  <c:v>7.4099999999999999E-2</c:v>
                </c:pt>
                <c:pt idx="56">
                  <c:v>7.3400000000000007E-2</c:v>
                </c:pt>
                <c:pt idx="57">
                  <c:v>7.1599999999999997E-2</c:v>
                </c:pt>
                <c:pt idx="58">
                  <c:v>7.0699999999999999E-2</c:v>
                </c:pt>
                <c:pt idx="59">
                  <c:v>7.0699999999999999E-2</c:v>
                </c:pt>
                <c:pt idx="60">
                  <c:v>7.0699999999999999E-2</c:v>
                </c:pt>
                <c:pt idx="61">
                  <c:v>7.0699999999999999E-2</c:v>
                </c:pt>
                <c:pt idx="62">
                  <c:v>7.0699999999999999E-2</c:v>
                </c:pt>
                <c:pt idx="63">
                  <c:v>7.0699999999999999E-2</c:v>
                </c:pt>
                <c:pt idx="64">
                  <c:v>7.0699999999999999E-2</c:v>
                </c:pt>
                <c:pt idx="65">
                  <c:v>7.0699999999999999E-2</c:v>
                </c:pt>
                <c:pt idx="66">
                  <c:v>7.0699999999999999E-2</c:v>
                </c:pt>
                <c:pt idx="67">
                  <c:v>6.93E-2</c:v>
                </c:pt>
                <c:pt idx="68">
                  <c:v>6.93E-2</c:v>
                </c:pt>
                <c:pt idx="69">
                  <c:v>6.93E-2</c:v>
                </c:pt>
                <c:pt idx="70">
                  <c:v>6.93E-2</c:v>
                </c:pt>
                <c:pt idx="71">
                  <c:v>6.93E-2</c:v>
                </c:pt>
                <c:pt idx="72">
                  <c:v>7.1599999999999997E-2</c:v>
                </c:pt>
                <c:pt idx="73">
                  <c:v>7.1599999999999997E-2</c:v>
                </c:pt>
                <c:pt idx="74">
                  <c:v>7.1599999999999997E-2</c:v>
                </c:pt>
                <c:pt idx="75">
                  <c:v>7.1599999999999997E-2</c:v>
                </c:pt>
                <c:pt idx="76">
                  <c:v>7.1599999999999997E-2</c:v>
                </c:pt>
                <c:pt idx="77">
                  <c:v>7.0699999999999999E-2</c:v>
                </c:pt>
                <c:pt idx="78">
                  <c:v>7.0699999999999999E-2</c:v>
                </c:pt>
                <c:pt idx="79">
                  <c:v>7.0699999999999999E-2</c:v>
                </c:pt>
                <c:pt idx="80">
                  <c:v>7.0699999999999999E-2</c:v>
                </c:pt>
                <c:pt idx="81">
                  <c:v>7.0699999999999999E-2</c:v>
                </c:pt>
                <c:pt idx="82">
                  <c:v>6.93E-2</c:v>
                </c:pt>
                <c:pt idx="83">
                  <c:v>6.93E-2</c:v>
                </c:pt>
                <c:pt idx="84">
                  <c:v>6.93E-2</c:v>
                </c:pt>
                <c:pt idx="85">
                  <c:v>6.93E-2</c:v>
                </c:pt>
                <c:pt idx="86">
                  <c:v>6.93E-2</c:v>
                </c:pt>
                <c:pt idx="87">
                  <c:v>6.93E-2</c:v>
                </c:pt>
                <c:pt idx="88">
                  <c:v>7.0000000000000007E-2</c:v>
                </c:pt>
                <c:pt idx="89">
                  <c:v>7.0000000000000007E-2</c:v>
                </c:pt>
                <c:pt idx="90">
                  <c:v>7.0000000000000007E-2</c:v>
                </c:pt>
                <c:pt idx="91">
                  <c:v>7.0000000000000007E-2</c:v>
                </c:pt>
                <c:pt idx="92">
                  <c:v>7.0000000000000007E-2</c:v>
                </c:pt>
                <c:pt idx="93">
                  <c:v>7.0000000000000007E-2</c:v>
                </c:pt>
                <c:pt idx="94">
                  <c:v>7.0000000000000007E-2</c:v>
                </c:pt>
                <c:pt idx="95">
                  <c:v>7.0000000000000007E-2</c:v>
                </c:pt>
                <c:pt idx="96">
                  <c:v>7.0000000000000007E-2</c:v>
                </c:pt>
                <c:pt idx="97">
                  <c:v>7.0000000000000007E-2</c:v>
                </c:pt>
                <c:pt idx="98">
                  <c:v>7.0000000000000007E-2</c:v>
                </c:pt>
                <c:pt idx="99">
                  <c:v>7.0000000000000007E-2</c:v>
                </c:pt>
                <c:pt idx="100">
                  <c:v>7.0000000000000007E-2</c:v>
                </c:pt>
                <c:pt idx="101">
                  <c:v>7.0000000000000007E-2</c:v>
                </c:pt>
                <c:pt idx="102">
                  <c:v>7.0000000000000007E-2</c:v>
                </c:pt>
                <c:pt idx="103">
                  <c:v>7.0099999999999996E-2</c:v>
                </c:pt>
                <c:pt idx="104">
                  <c:v>7.0099999999999996E-2</c:v>
                </c:pt>
                <c:pt idx="105">
                  <c:v>7.0099999999999996E-2</c:v>
                </c:pt>
                <c:pt idx="106">
                  <c:v>7.0099999999999996E-2</c:v>
                </c:pt>
                <c:pt idx="107">
                  <c:v>7.0400000000000004E-2</c:v>
                </c:pt>
                <c:pt idx="108">
                  <c:v>7.0400000000000004E-2</c:v>
                </c:pt>
                <c:pt idx="109">
                  <c:v>7.0400000000000004E-2</c:v>
                </c:pt>
                <c:pt idx="110">
                  <c:v>7.0400000000000004E-2</c:v>
                </c:pt>
                <c:pt idx="111">
                  <c:v>7.0400000000000004E-2</c:v>
                </c:pt>
                <c:pt idx="112">
                  <c:v>7.0400000000000004E-2</c:v>
                </c:pt>
                <c:pt idx="113">
                  <c:v>7.0400000000000004E-2</c:v>
                </c:pt>
                <c:pt idx="114">
                  <c:v>7.0400000000000004E-2</c:v>
                </c:pt>
                <c:pt idx="115">
                  <c:v>7.0400000000000004E-2</c:v>
                </c:pt>
                <c:pt idx="116">
                  <c:v>7.0400000000000004E-2</c:v>
                </c:pt>
                <c:pt idx="117">
                  <c:v>7.0400000000000004E-2</c:v>
                </c:pt>
                <c:pt idx="118">
                  <c:v>7.0499999999999993E-2</c:v>
                </c:pt>
                <c:pt idx="119">
                  <c:v>7.0499999999999993E-2</c:v>
                </c:pt>
                <c:pt idx="120">
                  <c:v>7.0499999999999993E-2</c:v>
                </c:pt>
                <c:pt idx="121">
                  <c:v>7.0499999999999993E-2</c:v>
                </c:pt>
                <c:pt idx="122">
                  <c:v>7.0499999999999993E-2</c:v>
                </c:pt>
                <c:pt idx="123">
                  <c:v>7.0499999999999993E-2</c:v>
                </c:pt>
                <c:pt idx="124">
                  <c:v>7.0499999999999993E-2</c:v>
                </c:pt>
                <c:pt idx="125">
                  <c:v>7.0300000000000001E-2</c:v>
                </c:pt>
                <c:pt idx="126">
                  <c:v>7.0099999999999996E-2</c:v>
                </c:pt>
                <c:pt idx="127">
                  <c:v>7.0099999999999996E-2</c:v>
                </c:pt>
                <c:pt idx="128">
                  <c:v>7.0099999999999996E-2</c:v>
                </c:pt>
                <c:pt idx="129">
                  <c:v>7.0099999999999996E-2</c:v>
                </c:pt>
                <c:pt idx="130">
                  <c:v>7.0099999999999996E-2</c:v>
                </c:pt>
                <c:pt idx="131">
                  <c:v>7.0099999999999996E-2</c:v>
                </c:pt>
                <c:pt idx="132">
                  <c:v>7.0099999999999996E-2</c:v>
                </c:pt>
                <c:pt idx="133">
                  <c:v>7.0099999999999996E-2</c:v>
                </c:pt>
                <c:pt idx="134">
                  <c:v>7.0099999999999996E-2</c:v>
                </c:pt>
                <c:pt idx="135">
                  <c:v>7.0099999999999996E-2</c:v>
                </c:pt>
                <c:pt idx="136">
                  <c:v>7.0099999999999996E-2</c:v>
                </c:pt>
                <c:pt idx="137">
                  <c:v>7.0099999999999996E-2</c:v>
                </c:pt>
                <c:pt idx="138">
                  <c:v>7.0099999999999996E-2</c:v>
                </c:pt>
                <c:pt idx="139">
                  <c:v>7.0099999999999996E-2</c:v>
                </c:pt>
                <c:pt idx="140">
                  <c:v>7.0099999999999996E-2</c:v>
                </c:pt>
                <c:pt idx="141">
                  <c:v>7.0499999999999993E-2</c:v>
                </c:pt>
                <c:pt idx="142">
                  <c:v>7.0499999999999993E-2</c:v>
                </c:pt>
                <c:pt idx="143">
                  <c:v>7.0499999999999993E-2</c:v>
                </c:pt>
                <c:pt idx="144">
                  <c:v>7.0599999999999996E-2</c:v>
                </c:pt>
                <c:pt idx="145">
                  <c:v>7.0499999999999993E-2</c:v>
                </c:pt>
                <c:pt idx="146">
                  <c:v>7.0499999999999993E-2</c:v>
                </c:pt>
                <c:pt idx="147">
                  <c:v>7.0499999999999993E-2</c:v>
                </c:pt>
                <c:pt idx="148">
                  <c:v>7.0499999999999993E-2</c:v>
                </c:pt>
                <c:pt idx="149">
                  <c:v>7.0499999999999993E-2</c:v>
                </c:pt>
                <c:pt idx="150">
                  <c:v>7.0499999999999993E-2</c:v>
                </c:pt>
                <c:pt idx="151">
                  <c:v>7.0499999999999993E-2</c:v>
                </c:pt>
                <c:pt idx="152">
                  <c:v>7.0499999999999993E-2</c:v>
                </c:pt>
                <c:pt idx="153">
                  <c:v>7.0499999999999993E-2</c:v>
                </c:pt>
                <c:pt idx="154">
                  <c:v>7.0499999999999993E-2</c:v>
                </c:pt>
                <c:pt idx="155">
                  <c:v>7.0800000000000002E-2</c:v>
                </c:pt>
                <c:pt idx="156">
                  <c:v>7.0800000000000002E-2</c:v>
                </c:pt>
                <c:pt idx="157">
                  <c:v>7.0800000000000002E-2</c:v>
                </c:pt>
                <c:pt idx="158">
                  <c:v>7.0800000000000002E-2</c:v>
                </c:pt>
                <c:pt idx="159">
                  <c:v>7.0800000000000002E-2</c:v>
                </c:pt>
                <c:pt idx="160">
                  <c:v>7.0800000000000002E-2</c:v>
                </c:pt>
                <c:pt idx="161">
                  <c:v>7.0800000000000002E-2</c:v>
                </c:pt>
                <c:pt idx="162">
                  <c:v>6.7000000000000004E-2</c:v>
                </c:pt>
                <c:pt idx="163">
                  <c:v>6.6500000000000004E-2</c:v>
                </c:pt>
                <c:pt idx="164">
                  <c:v>6.6500000000000004E-2</c:v>
                </c:pt>
                <c:pt idx="165">
                  <c:v>6.6500000000000004E-2</c:v>
                </c:pt>
                <c:pt idx="166">
                  <c:v>6.6500000000000004E-2</c:v>
                </c:pt>
                <c:pt idx="167">
                  <c:v>6.6500000000000004E-2</c:v>
                </c:pt>
                <c:pt idx="168">
                  <c:v>6.6500000000000004E-2</c:v>
                </c:pt>
                <c:pt idx="169">
                  <c:v>6.6500000000000004E-2</c:v>
                </c:pt>
                <c:pt idx="170">
                  <c:v>6.6500000000000004E-2</c:v>
                </c:pt>
                <c:pt idx="171">
                  <c:v>6.6500000000000004E-2</c:v>
                </c:pt>
                <c:pt idx="172">
                  <c:v>6.6500000000000004E-2</c:v>
                </c:pt>
                <c:pt idx="173">
                  <c:v>6.6500000000000004E-2</c:v>
                </c:pt>
                <c:pt idx="174">
                  <c:v>6.6500000000000004E-2</c:v>
                </c:pt>
                <c:pt idx="175">
                  <c:v>6.6500000000000004E-2</c:v>
                </c:pt>
                <c:pt idx="176">
                  <c:v>6.6500000000000004E-2</c:v>
                </c:pt>
                <c:pt idx="177">
                  <c:v>6.6500000000000004E-2</c:v>
                </c:pt>
                <c:pt idx="178">
                  <c:v>6.6500000000000004E-2</c:v>
                </c:pt>
                <c:pt idx="179">
                  <c:v>6.6500000000000004E-2</c:v>
                </c:pt>
                <c:pt idx="180">
                  <c:v>6.6500000000000004E-2</c:v>
                </c:pt>
                <c:pt idx="181">
                  <c:v>6.7400000000000002E-2</c:v>
                </c:pt>
                <c:pt idx="182">
                  <c:v>6.6900000000000001E-2</c:v>
                </c:pt>
                <c:pt idx="183">
                  <c:v>6.6900000000000001E-2</c:v>
                </c:pt>
                <c:pt idx="184">
                  <c:v>6.6900000000000001E-2</c:v>
                </c:pt>
                <c:pt idx="185">
                  <c:v>6.6900000000000001E-2</c:v>
                </c:pt>
                <c:pt idx="186">
                  <c:v>6.6900000000000001E-2</c:v>
                </c:pt>
                <c:pt idx="187">
                  <c:v>6.6900000000000001E-2</c:v>
                </c:pt>
                <c:pt idx="188">
                  <c:v>6.6900000000000001E-2</c:v>
                </c:pt>
                <c:pt idx="189">
                  <c:v>6.6900000000000001E-2</c:v>
                </c:pt>
                <c:pt idx="190">
                  <c:v>6.6900000000000001E-2</c:v>
                </c:pt>
                <c:pt idx="191">
                  <c:v>6.6900000000000001E-2</c:v>
                </c:pt>
                <c:pt idx="192">
                  <c:v>6.6900000000000001E-2</c:v>
                </c:pt>
                <c:pt idx="193">
                  <c:v>6.6900000000000001E-2</c:v>
                </c:pt>
                <c:pt idx="194">
                  <c:v>6.6900000000000001E-2</c:v>
                </c:pt>
                <c:pt idx="195">
                  <c:v>6.6900000000000001E-2</c:v>
                </c:pt>
                <c:pt idx="196">
                  <c:v>6.6900000000000001E-2</c:v>
                </c:pt>
                <c:pt idx="197">
                  <c:v>6.6900000000000001E-2</c:v>
                </c:pt>
                <c:pt idx="198">
                  <c:v>6.6900000000000001E-2</c:v>
                </c:pt>
                <c:pt idx="199">
                  <c:v>7.6700000000000004E-2</c:v>
                </c:pt>
                <c:pt idx="200">
                  <c:v>7.0000000000000007E-2</c:v>
                </c:pt>
                <c:pt idx="201">
                  <c:v>7.0599999999999996E-2</c:v>
                </c:pt>
                <c:pt idx="202">
                  <c:v>7.0599999999999996E-2</c:v>
                </c:pt>
                <c:pt idx="203">
                  <c:v>7.0599999999999996E-2</c:v>
                </c:pt>
                <c:pt idx="204">
                  <c:v>7.0599999999999996E-2</c:v>
                </c:pt>
                <c:pt idx="205">
                  <c:v>7.0599999999999996E-2</c:v>
                </c:pt>
                <c:pt idx="206">
                  <c:v>7.0699999999999999E-2</c:v>
                </c:pt>
                <c:pt idx="207">
                  <c:v>7.0699999999999999E-2</c:v>
                </c:pt>
                <c:pt idx="208">
                  <c:v>7.0699999999999999E-2</c:v>
                </c:pt>
                <c:pt idx="209">
                  <c:v>7.0699999999999999E-2</c:v>
                </c:pt>
                <c:pt idx="210">
                  <c:v>7.0699999999999999E-2</c:v>
                </c:pt>
                <c:pt idx="211">
                  <c:v>7.0699999999999999E-2</c:v>
                </c:pt>
                <c:pt idx="212">
                  <c:v>7.0699999999999999E-2</c:v>
                </c:pt>
                <c:pt idx="213">
                  <c:v>7.0699999999999999E-2</c:v>
                </c:pt>
                <c:pt idx="214">
                  <c:v>7.0699999999999999E-2</c:v>
                </c:pt>
                <c:pt idx="215">
                  <c:v>7.1900000000000006E-2</c:v>
                </c:pt>
                <c:pt idx="216">
                  <c:v>7.1900000000000006E-2</c:v>
                </c:pt>
                <c:pt idx="217">
                  <c:v>7.1900000000000006E-2</c:v>
                </c:pt>
                <c:pt idx="218">
                  <c:v>7.4200000000000002E-2</c:v>
                </c:pt>
                <c:pt idx="219">
                  <c:v>7.0400000000000004E-2</c:v>
                </c:pt>
                <c:pt idx="220">
                  <c:v>7.0900000000000005E-2</c:v>
                </c:pt>
                <c:pt idx="221">
                  <c:v>7.0900000000000005E-2</c:v>
                </c:pt>
                <c:pt idx="222">
                  <c:v>7.0900000000000005E-2</c:v>
                </c:pt>
                <c:pt idx="223">
                  <c:v>7.1099999999999997E-2</c:v>
                </c:pt>
                <c:pt idx="224">
                  <c:v>7.1099999999999997E-2</c:v>
                </c:pt>
                <c:pt idx="225">
                  <c:v>7.1099999999999997E-2</c:v>
                </c:pt>
                <c:pt idx="226">
                  <c:v>7.1099999999999997E-2</c:v>
                </c:pt>
                <c:pt idx="227">
                  <c:v>7.1099999999999997E-2</c:v>
                </c:pt>
                <c:pt idx="228">
                  <c:v>7.1099999999999997E-2</c:v>
                </c:pt>
                <c:pt idx="229">
                  <c:v>7.1099999999999997E-2</c:v>
                </c:pt>
                <c:pt idx="230">
                  <c:v>7.1099999999999997E-2</c:v>
                </c:pt>
                <c:pt idx="231">
                  <c:v>7.22E-2</c:v>
                </c:pt>
                <c:pt idx="232">
                  <c:v>7.22E-2</c:v>
                </c:pt>
                <c:pt idx="233">
                  <c:v>7.22E-2</c:v>
                </c:pt>
                <c:pt idx="234">
                  <c:v>7.22E-2</c:v>
                </c:pt>
                <c:pt idx="235">
                  <c:v>7.22E-2</c:v>
                </c:pt>
                <c:pt idx="236">
                  <c:v>7.22E-2</c:v>
                </c:pt>
                <c:pt idx="237">
                  <c:v>7.5600000000000001E-2</c:v>
                </c:pt>
                <c:pt idx="238">
                  <c:v>7.7200000000000005E-2</c:v>
                </c:pt>
                <c:pt idx="239">
                  <c:v>7.7200000000000005E-2</c:v>
                </c:pt>
                <c:pt idx="240">
                  <c:v>7.7200000000000005E-2</c:v>
                </c:pt>
                <c:pt idx="241">
                  <c:v>7.7200000000000005E-2</c:v>
                </c:pt>
                <c:pt idx="242">
                  <c:v>7.7200000000000005E-2</c:v>
                </c:pt>
                <c:pt idx="243">
                  <c:v>7.7200000000000005E-2</c:v>
                </c:pt>
                <c:pt idx="244">
                  <c:v>7.9699999999999993E-2</c:v>
                </c:pt>
                <c:pt idx="245">
                  <c:v>7.9699999999999993E-2</c:v>
                </c:pt>
                <c:pt idx="246">
                  <c:v>7.9699999999999993E-2</c:v>
                </c:pt>
                <c:pt idx="247">
                  <c:v>7.9699999999999993E-2</c:v>
                </c:pt>
                <c:pt idx="248">
                  <c:v>7.9699999999999993E-2</c:v>
                </c:pt>
                <c:pt idx="249">
                  <c:v>7.9699999999999993E-2</c:v>
                </c:pt>
                <c:pt idx="250">
                  <c:v>7.9699999999999993E-2</c:v>
                </c:pt>
                <c:pt idx="251">
                  <c:v>7.9699999999999993E-2</c:v>
                </c:pt>
                <c:pt idx="252">
                  <c:v>7.9699999999999993E-2</c:v>
                </c:pt>
                <c:pt idx="253">
                  <c:v>8.2299999999999998E-2</c:v>
                </c:pt>
                <c:pt idx="254">
                  <c:v>8.2299999999999998E-2</c:v>
                </c:pt>
                <c:pt idx="255">
                  <c:v>8.2299999999999998E-2</c:v>
                </c:pt>
                <c:pt idx="256">
                  <c:v>7.5899999999999995E-2</c:v>
                </c:pt>
                <c:pt idx="257">
                  <c:v>7.7600000000000002E-2</c:v>
                </c:pt>
                <c:pt idx="258">
                  <c:v>7.7600000000000002E-2</c:v>
                </c:pt>
                <c:pt idx="259">
                  <c:v>7.7600000000000002E-2</c:v>
                </c:pt>
                <c:pt idx="260">
                  <c:v>7.7600000000000002E-2</c:v>
                </c:pt>
                <c:pt idx="261">
                  <c:v>0.08</c:v>
                </c:pt>
                <c:pt idx="262">
                  <c:v>0.08</c:v>
                </c:pt>
                <c:pt idx="263">
                  <c:v>0.08</c:v>
                </c:pt>
                <c:pt idx="264">
                  <c:v>0.08</c:v>
                </c:pt>
                <c:pt idx="265">
                  <c:v>0.08</c:v>
                </c:pt>
                <c:pt idx="266">
                  <c:v>0.08</c:v>
                </c:pt>
                <c:pt idx="267">
                  <c:v>0.08</c:v>
                </c:pt>
                <c:pt idx="268">
                  <c:v>0.08</c:v>
                </c:pt>
                <c:pt idx="269">
                  <c:v>0.08</c:v>
                </c:pt>
                <c:pt idx="270">
                  <c:v>0.08</c:v>
                </c:pt>
                <c:pt idx="271">
                  <c:v>8.2699999999999996E-2</c:v>
                </c:pt>
                <c:pt idx="272">
                  <c:v>6.6000000000000003E-2</c:v>
                </c:pt>
                <c:pt idx="273">
                  <c:v>6.6000000000000003E-2</c:v>
                </c:pt>
                <c:pt idx="274">
                  <c:v>6.6000000000000003E-2</c:v>
                </c:pt>
                <c:pt idx="275">
                  <c:v>6.6299999999999998E-2</c:v>
                </c:pt>
                <c:pt idx="276">
                  <c:v>6.8199999999999997E-2</c:v>
                </c:pt>
              </c:numCache>
            </c:numRef>
          </c:xVal>
          <c:yVal>
            <c:numRef>
              <c:f>'[1]Raw data'!$H$2:$H$278</c:f>
              <c:numCache>
                <c:formatCode>0.0000</c:formatCode>
                <c:ptCount val="277"/>
                <c:pt idx="0">
                  <c:v>0.139333333333333</c:v>
                </c:pt>
                <c:pt idx="1">
                  <c:v>0.12</c:v>
                </c:pt>
                <c:pt idx="2">
                  <c:v>0.11333333333333299</c:v>
                </c:pt>
                <c:pt idx="3">
                  <c:v>0.119333333333333</c:v>
                </c:pt>
                <c:pt idx="4">
                  <c:v>0.1143</c:v>
                </c:pt>
                <c:pt idx="5">
                  <c:v>0.11333333333333299</c:v>
                </c:pt>
                <c:pt idx="6">
                  <c:v>0.1225</c:v>
                </c:pt>
                <c:pt idx="7">
                  <c:v>0.115</c:v>
                </c:pt>
                <c:pt idx="8">
                  <c:v>0.124333333333333</c:v>
                </c:pt>
                <c:pt idx="9">
                  <c:v>0.13766666666666699</c:v>
                </c:pt>
                <c:pt idx="10">
                  <c:v>0.127033333333333</c:v>
                </c:pt>
                <c:pt idx="11">
                  <c:v>0.125</c:v>
                </c:pt>
                <c:pt idx="12">
                  <c:v>0.125</c:v>
                </c:pt>
                <c:pt idx="13">
                  <c:v>0.13300000000000001</c:v>
                </c:pt>
                <c:pt idx="14">
                  <c:v>0.15083333333333299</c:v>
                </c:pt>
                <c:pt idx="15">
                  <c:v>0.1149</c:v>
                </c:pt>
                <c:pt idx="16">
                  <c:v>0.1225</c:v>
                </c:pt>
                <c:pt idx="17">
                  <c:v>0.11700000000000001</c:v>
                </c:pt>
                <c:pt idx="18">
                  <c:v>0.16800000000000001</c:v>
                </c:pt>
                <c:pt idx="19">
                  <c:v>0.12616666666666701</c:v>
                </c:pt>
                <c:pt idx="20">
                  <c:v>0.16800000000000001</c:v>
                </c:pt>
                <c:pt idx="21">
                  <c:v>0.11383333333333299</c:v>
                </c:pt>
                <c:pt idx="22">
                  <c:v>0.116166666666667</c:v>
                </c:pt>
                <c:pt idx="23">
                  <c:v>0.11</c:v>
                </c:pt>
                <c:pt idx="24">
                  <c:v>0.1245</c:v>
                </c:pt>
                <c:pt idx="25">
                  <c:v>0.12783333333333299</c:v>
                </c:pt>
                <c:pt idx="26">
                  <c:v>0.1138</c:v>
                </c:pt>
                <c:pt idx="27">
                  <c:v>0.12783333333333299</c:v>
                </c:pt>
                <c:pt idx="28">
                  <c:v>0.127</c:v>
                </c:pt>
                <c:pt idx="29">
                  <c:v>0.141866666666667</c:v>
                </c:pt>
                <c:pt idx="30">
                  <c:v>0.12216666666666701</c:v>
                </c:pt>
                <c:pt idx="31">
                  <c:v>0.120333333333333</c:v>
                </c:pt>
                <c:pt idx="32">
                  <c:v>0.1305</c:v>
                </c:pt>
                <c:pt idx="33">
                  <c:v>0.112</c:v>
                </c:pt>
                <c:pt idx="34">
                  <c:v>0.121</c:v>
                </c:pt>
                <c:pt idx="35">
                  <c:v>0.123333333333333</c:v>
                </c:pt>
                <c:pt idx="36">
                  <c:v>0.125</c:v>
                </c:pt>
                <c:pt idx="37">
                  <c:v>0.12166666666666701</c:v>
                </c:pt>
                <c:pt idx="38">
                  <c:v>0.117466666666667</c:v>
                </c:pt>
                <c:pt idx="39">
                  <c:v>0.125</c:v>
                </c:pt>
                <c:pt idx="40">
                  <c:v>0.124833333333333</c:v>
                </c:pt>
                <c:pt idx="41">
                  <c:v>0.11005</c:v>
                </c:pt>
                <c:pt idx="42">
                  <c:v>0.16800000000000001</c:v>
                </c:pt>
                <c:pt idx="43">
                  <c:v>0.12633333333333299</c:v>
                </c:pt>
                <c:pt idx="44">
                  <c:v>0.124</c:v>
                </c:pt>
                <c:pt idx="45">
                  <c:v>0.12516666666666701</c:v>
                </c:pt>
                <c:pt idx="46">
                  <c:v>0.1169</c:v>
                </c:pt>
                <c:pt idx="47">
                  <c:v>0.120166666666667</c:v>
                </c:pt>
                <c:pt idx="48">
                  <c:v>0.123</c:v>
                </c:pt>
                <c:pt idx="49">
                  <c:v>0.16800000000000001</c:v>
                </c:pt>
                <c:pt idx="50">
                  <c:v>0.12466666666666699</c:v>
                </c:pt>
                <c:pt idx="51">
                  <c:v>0.113666666666667</c:v>
                </c:pt>
                <c:pt idx="52">
                  <c:v>0.113666666666667</c:v>
                </c:pt>
                <c:pt idx="53">
                  <c:v>0.11</c:v>
                </c:pt>
                <c:pt idx="54">
                  <c:v>0.13450000000000001</c:v>
                </c:pt>
                <c:pt idx="55">
                  <c:v>0.1132</c:v>
                </c:pt>
                <c:pt idx="56">
                  <c:v>0.125</c:v>
                </c:pt>
                <c:pt idx="57">
                  <c:v>0.124</c:v>
                </c:pt>
                <c:pt idx="58">
                  <c:v>0.13066666666666699</c:v>
                </c:pt>
                <c:pt idx="59">
                  <c:v>0.12566666666666701</c:v>
                </c:pt>
                <c:pt idx="60">
                  <c:v>0.1079</c:v>
                </c:pt>
                <c:pt idx="61">
                  <c:v>0.126</c:v>
                </c:pt>
                <c:pt idx="62">
                  <c:v>0.115133333333333</c:v>
                </c:pt>
                <c:pt idx="63">
                  <c:v>0.12125</c:v>
                </c:pt>
                <c:pt idx="64">
                  <c:v>0.11600000000000001</c:v>
                </c:pt>
                <c:pt idx="65">
                  <c:v>0.117833333333333</c:v>
                </c:pt>
                <c:pt idx="66">
                  <c:v>0.12583333333333299</c:v>
                </c:pt>
                <c:pt idx="67">
                  <c:v>0.13</c:v>
                </c:pt>
                <c:pt idx="68">
                  <c:v>0.12816666666666701</c:v>
                </c:pt>
                <c:pt idx="69">
                  <c:v>0.11333333333333299</c:v>
                </c:pt>
                <c:pt idx="70">
                  <c:v>0.11283333333333299</c:v>
                </c:pt>
                <c:pt idx="71">
                  <c:v>0.122833333333333</c:v>
                </c:pt>
                <c:pt idx="72">
                  <c:v>0.11333333333333299</c:v>
                </c:pt>
                <c:pt idx="73">
                  <c:v>0.106833333333333</c:v>
                </c:pt>
                <c:pt idx="74">
                  <c:v>0.1072</c:v>
                </c:pt>
                <c:pt idx="75">
                  <c:v>0.16800000000000001</c:v>
                </c:pt>
                <c:pt idx="76">
                  <c:v>0.11874999999999999</c:v>
                </c:pt>
                <c:pt idx="77">
                  <c:v>0.12</c:v>
                </c:pt>
                <c:pt idx="78">
                  <c:v>0.1153</c:v>
                </c:pt>
                <c:pt idx="79">
                  <c:v>0.16800000000000001</c:v>
                </c:pt>
                <c:pt idx="80">
                  <c:v>0.119166666666667</c:v>
                </c:pt>
                <c:pt idx="81">
                  <c:v>0.121333333333333</c:v>
                </c:pt>
                <c:pt idx="82">
                  <c:v>0.113</c:v>
                </c:pt>
                <c:pt idx="83">
                  <c:v>0.107</c:v>
                </c:pt>
                <c:pt idx="84">
                  <c:v>0.12</c:v>
                </c:pt>
                <c:pt idx="85">
                  <c:v>0.12633333333333299</c:v>
                </c:pt>
                <c:pt idx="86">
                  <c:v>0.1245</c:v>
                </c:pt>
                <c:pt idx="87">
                  <c:v>0.11</c:v>
                </c:pt>
                <c:pt idx="88">
                  <c:v>0.123</c:v>
                </c:pt>
                <c:pt idx="89">
                  <c:v>0.12366666666666699</c:v>
                </c:pt>
                <c:pt idx="90">
                  <c:v>0.1265</c:v>
                </c:pt>
                <c:pt idx="91">
                  <c:v>0.115833333333333</c:v>
                </c:pt>
                <c:pt idx="92">
                  <c:v>0.1305</c:v>
                </c:pt>
                <c:pt idx="93">
                  <c:v>0.115266666666667</c:v>
                </c:pt>
                <c:pt idx="94">
                  <c:v>0.11183333333333299</c:v>
                </c:pt>
                <c:pt idx="95">
                  <c:v>0.111</c:v>
                </c:pt>
                <c:pt idx="96">
                  <c:v>0.1285</c:v>
                </c:pt>
                <c:pt idx="97">
                  <c:v>0.110166666666667</c:v>
                </c:pt>
                <c:pt idx="98">
                  <c:v>0.11700000000000001</c:v>
                </c:pt>
                <c:pt idx="99">
                  <c:v>0.114</c:v>
                </c:pt>
                <c:pt idx="100">
                  <c:v>0.116333333333333</c:v>
                </c:pt>
                <c:pt idx="101">
                  <c:v>0.12833333333333299</c:v>
                </c:pt>
                <c:pt idx="102">
                  <c:v>0.120966666666667</c:v>
                </c:pt>
                <c:pt idx="103">
                  <c:v>0.13250000000000001</c:v>
                </c:pt>
                <c:pt idx="104">
                  <c:v>0.12866666666666701</c:v>
                </c:pt>
                <c:pt idx="105">
                  <c:v>0.12833333333333299</c:v>
                </c:pt>
                <c:pt idx="106">
                  <c:v>0.115</c:v>
                </c:pt>
                <c:pt idx="107">
                  <c:v>0.112666666666667</c:v>
                </c:pt>
                <c:pt idx="108">
                  <c:v>0.10866666666666699</c:v>
                </c:pt>
                <c:pt idx="109">
                  <c:v>0.10489999999999999</c:v>
                </c:pt>
                <c:pt idx="110">
                  <c:v>0.11550000000000001</c:v>
                </c:pt>
                <c:pt idx="111">
                  <c:v>0.1137</c:v>
                </c:pt>
                <c:pt idx="112">
                  <c:v>0.11609999999999999</c:v>
                </c:pt>
                <c:pt idx="113">
                  <c:v>0.157</c:v>
                </c:pt>
                <c:pt idx="114">
                  <c:v>0.157</c:v>
                </c:pt>
                <c:pt idx="115">
                  <c:v>0.116666666666667</c:v>
                </c:pt>
                <c:pt idx="116">
                  <c:v>0.1215</c:v>
                </c:pt>
                <c:pt idx="117">
                  <c:v>0.118833333333333</c:v>
                </c:pt>
                <c:pt idx="118">
                  <c:v>0.112166666666667</c:v>
                </c:pt>
                <c:pt idx="119">
                  <c:v>0.11333333333333299</c:v>
                </c:pt>
                <c:pt idx="120">
                  <c:v>0.1129</c:v>
                </c:pt>
                <c:pt idx="121">
                  <c:v>0.11899999999999999</c:v>
                </c:pt>
                <c:pt idx="122">
                  <c:v>0.11333333333333299</c:v>
                </c:pt>
                <c:pt idx="123">
                  <c:v>0.11333333333333299</c:v>
                </c:pt>
                <c:pt idx="124">
                  <c:v>0.10525</c:v>
                </c:pt>
                <c:pt idx="125">
                  <c:v>0.118666666666667</c:v>
                </c:pt>
                <c:pt idx="126">
                  <c:v>0.13150000000000001</c:v>
                </c:pt>
                <c:pt idx="127">
                  <c:v>0.121</c:v>
                </c:pt>
                <c:pt idx="128">
                  <c:v>0.13116666666666699</c:v>
                </c:pt>
                <c:pt idx="129">
                  <c:v>0.115</c:v>
                </c:pt>
                <c:pt idx="130">
                  <c:v>0.1285</c:v>
                </c:pt>
                <c:pt idx="131">
                  <c:v>0.115</c:v>
                </c:pt>
                <c:pt idx="132">
                  <c:v>0.113166666666667</c:v>
                </c:pt>
                <c:pt idx="133">
                  <c:v>0.125</c:v>
                </c:pt>
                <c:pt idx="134">
                  <c:v>0.12616666666666701</c:v>
                </c:pt>
                <c:pt idx="135">
                  <c:v>0.12533333333333299</c:v>
                </c:pt>
                <c:pt idx="136">
                  <c:v>0.1152</c:v>
                </c:pt>
                <c:pt idx="137">
                  <c:v>0.115666666666667</c:v>
                </c:pt>
                <c:pt idx="138">
                  <c:v>0.12966666666666701</c:v>
                </c:pt>
                <c:pt idx="139">
                  <c:v>0.117333333333333</c:v>
                </c:pt>
                <c:pt idx="140">
                  <c:v>0.115</c:v>
                </c:pt>
                <c:pt idx="141">
                  <c:v>0.13250000000000001</c:v>
                </c:pt>
                <c:pt idx="142">
                  <c:v>0.111666666666667</c:v>
                </c:pt>
                <c:pt idx="143">
                  <c:v>0.13166666666666699</c:v>
                </c:pt>
                <c:pt idx="144">
                  <c:v>0.115</c:v>
                </c:pt>
                <c:pt idx="145">
                  <c:v>0.111166666666667</c:v>
                </c:pt>
                <c:pt idx="146">
                  <c:v>0.115666666666667</c:v>
                </c:pt>
                <c:pt idx="147">
                  <c:v>0.12116666666666701</c:v>
                </c:pt>
                <c:pt idx="148">
                  <c:v>0.114666666666667</c:v>
                </c:pt>
                <c:pt idx="149">
                  <c:v>0.108366666666667</c:v>
                </c:pt>
                <c:pt idx="150">
                  <c:v>0.159</c:v>
                </c:pt>
                <c:pt idx="151">
                  <c:v>0.159</c:v>
                </c:pt>
                <c:pt idx="152">
                  <c:v>0.113</c:v>
                </c:pt>
                <c:pt idx="153">
                  <c:v>0.114</c:v>
                </c:pt>
                <c:pt idx="154">
                  <c:v>0.117333333333333</c:v>
                </c:pt>
                <c:pt idx="155">
                  <c:v>0.114</c:v>
                </c:pt>
                <c:pt idx="156">
                  <c:v>0.119333333333333</c:v>
                </c:pt>
                <c:pt idx="157">
                  <c:v>0.112766666666667</c:v>
                </c:pt>
                <c:pt idx="158">
                  <c:v>0.1235</c:v>
                </c:pt>
                <c:pt idx="159">
                  <c:v>0.11550000000000001</c:v>
                </c:pt>
                <c:pt idx="160">
                  <c:v>0.112166666666667</c:v>
                </c:pt>
                <c:pt idx="161">
                  <c:v>0.10916666666666699</c:v>
                </c:pt>
                <c:pt idx="162">
                  <c:v>0.11799999999999999</c:v>
                </c:pt>
                <c:pt idx="163">
                  <c:v>0.125</c:v>
                </c:pt>
                <c:pt idx="164">
                  <c:v>0.118333333333333</c:v>
                </c:pt>
                <c:pt idx="165">
                  <c:v>0.13500000000000001</c:v>
                </c:pt>
                <c:pt idx="166">
                  <c:v>0.121633333333333</c:v>
                </c:pt>
                <c:pt idx="167">
                  <c:v>0.13166666666666699</c:v>
                </c:pt>
                <c:pt idx="168">
                  <c:v>0.11799999999999999</c:v>
                </c:pt>
                <c:pt idx="169">
                  <c:v>0.11183333333333299</c:v>
                </c:pt>
                <c:pt idx="170">
                  <c:v>0.12</c:v>
                </c:pt>
                <c:pt idx="171">
                  <c:v>0.12716666666666701</c:v>
                </c:pt>
                <c:pt idx="172">
                  <c:v>0.12866666666666701</c:v>
                </c:pt>
                <c:pt idx="173">
                  <c:v>0.113</c:v>
                </c:pt>
                <c:pt idx="174">
                  <c:v>0.11525000000000001</c:v>
                </c:pt>
                <c:pt idx="175">
                  <c:v>0.118166666666667</c:v>
                </c:pt>
                <c:pt idx="176">
                  <c:v>0.13066666666666699</c:v>
                </c:pt>
                <c:pt idx="177">
                  <c:v>0.115333333333333</c:v>
                </c:pt>
                <c:pt idx="178">
                  <c:v>0.14000000000000001</c:v>
                </c:pt>
                <c:pt idx="179">
                  <c:v>0.13700000000000001</c:v>
                </c:pt>
                <c:pt idx="180">
                  <c:v>0.115</c:v>
                </c:pt>
                <c:pt idx="181">
                  <c:v>0.118333333333333</c:v>
                </c:pt>
                <c:pt idx="182">
                  <c:v>0.105733333333333</c:v>
                </c:pt>
                <c:pt idx="183">
                  <c:v>0.112166666666667</c:v>
                </c:pt>
                <c:pt idx="184">
                  <c:v>0.12116666666666701</c:v>
                </c:pt>
                <c:pt idx="185">
                  <c:v>0.114333333333333</c:v>
                </c:pt>
                <c:pt idx="186">
                  <c:v>0.111166666666667</c:v>
                </c:pt>
                <c:pt idx="187">
                  <c:v>0.159</c:v>
                </c:pt>
                <c:pt idx="188">
                  <c:v>0.118333333333333</c:v>
                </c:pt>
                <c:pt idx="189">
                  <c:v>0.159</c:v>
                </c:pt>
                <c:pt idx="190">
                  <c:v>0.142666666666667</c:v>
                </c:pt>
                <c:pt idx="191">
                  <c:v>0.11283333333333299</c:v>
                </c:pt>
                <c:pt idx="192">
                  <c:v>0.115333333333333</c:v>
                </c:pt>
                <c:pt idx="193">
                  <c:v>0.116333333333333</c:v>
                </c:pt>
                <c:pt idx="194">
                  <c:v>0.114166666666667</c:v>
                </c:pt>
                <c:pt idx="195">
                  <c:v>0.1115</c:v>
                </c:pt>
                <c:pt idx="196">
                  <c:v>0.11550000000000001</c:v>
                </c:pt>
                <c:pt idx="197">
                  <c:v>0.114166666666667</c:v>
                </c:pt>
                <c:pt idx="198">
                  <c:v>0.11233333333333299</c:v>
                </c:pt>
                <c:pt idx="199">
                  <c:v>0.12</c:v>
                </c:pt>
                <c:pt idx="200">
                  <c:v>0.11650000000000001</c:v>
                </c:pt>
                <c:pt idx="201">
                  <c:v>0.123333333333333</c:v>
                </c:pt>
                <c:pt idx="202">
                  <c:v>0.1275</c:v>
                </c:pt>
                <c:pt idx="203">
                  <c:v>0.1235</c:v>
                </c:pt>
                <c:pt idx="204">
                  <c:v>0.1295</c:v>
                </c:pt>
                <c:pt idx="205">
                  <c:v>0.129766666666667</c:v>
                </c:pt>
                <c:pt idx="206">
                  <c:v>0.14000000000000001</c:v>
                </c:pt>
                <c:pt idx="207">
                  <c:v>0.11650000000000001</c:v>
                </c:pt>
                <c:pt idx="208">
                  <c:v>0.120133333333333</c:v>
                </c:pt>
                <c:pt idx="209">
                  <c:v>0.1275</c:v>
                </c:pt>
                <c:pt idx="210">
                  <c:v>0.1195</c:v>
                </c:pt>
                <c:pt idx="211">
                  <c:v>0.12130000000000001</c:v>
                </c:pt>
                <c:pt idx="212">
                  <c:v>0.11573333333333299</c:v>
                </c:pt>
                <c:pt idx="213">
                  <c:v>0.134333333333333</c:v>
                </c:pt>
                <c:pt idx="214">
                  <c:v>0.121333333333333</c:v>
                </c:pt>
                <c:pt idx="215">
                  <c:v>0.122</c:v>
                </c:pt>
                <c:pt idx="216">
                  <c:v>0.13500000000000001</c:v>
                </c:pt>
                <c:pt idx="217">
                  <c:v>0.114333333333333</c:v>
                </c:pt>
                <c:pt idx="218">
                  <c:v>0.129</c:v>
                </c:pt>
                <c:pt idx="219">
                  <c:v>0.11573333333333299</c:v>
                </c:pt>
                <c:pt idx="220">
                  <c:v>0.123</c:v>
                </c:pt>
                <c:pt idx="221">
                  <c:v>0.11776666666666701</c:v>
                </c:pt>
                <c:pt idx="222">
                  <c:v>0.12266666666666701</c:v>
                </c:pt>
                <c:pt idx="223">
                  <c:v>0.114166666666667</c:v>
                </c:pt>
                <c:pt idx="224">
                  <c:v>0.114166666666667</c:v>
                </c:pt>
                <c:pt idx="225">
                  <c:v>0.122333333333333</c:v>
                </c:pt>
                <c:pt idx="226">
                  <c:v>0.119666666666667</c:v>
                </c:pt>
                <c:pt idx="227">
                  <c:v>0.131833333333333</c:v>
                </c:pt>
                <c:pt idx="228">
                  <c:v>0.132833333333333</c:v>
                </c:pt>
                <c:pt idx="229">
                  <c:v>0.117833333333333</c:v>
                </c:pt>
                <c:pt idx="230">
                  <c:v>0.120333333333333</c:v>
                </c:pt>
                <c:pt idx="231">
                  <c:v>0.122</c:v>
                </c:pt>
                <c:pt idx="232">
                  <c:v>0.1203</c:v>
                </c:pt>
                <c:pt idx="233">
                  <c:v>0.131833333333333</c:v>
                </c:pt>
                <c:pt idx="234">
                  <c:v>0.123</c:v>
                </c:pt>
                <c:pt idx="235">
                  <c:v>0.12416666666666699</c:v>
                </c:pt>
                <c:pt idx="236">
                  <c:v>0.117066666666667</c:v>
                </c:pt>
                <c:pt idx="237">
                  <c:v>0.14883333333333301</c:v>
                </c:pt>
                <c:pt idx="238">
                  <c:v>0.16066666666666701</c:v>
                </c:pt>
                <c:pt idx="239">
                  <c:v>0.15933333333333299</c:v>
                </c:pt>
                <c:pt idx="240">
                  <c:v>0.156</c:v>
                </c:pt>
                <c:pt idx="241">
                  <c:v>0.15933333333333299</c:v>
                </c:pt>
                <c:pt idx="242">
                  <c:v>0.15490000000000001</c:v>
                </c:pt>
                <c:pt idx="243">
                  <c:v>0.15333333333333299</c:v>
                </c:pt>
                <c:pt idx="244">
                  <c:v>0.16</c:v>
                </c:pt>
                <c:pt idx="245">
                  <c:v>0.143666666666667</c:v>
                </c:pt>
                <c:pt idx="246">
                  <c:v>0.161</c:v>
                </c:pt>
                <c:pt idx="247">
                  <c:v>0.16900000000000001</c:v>
                </c:pt>
                <c:pt idx="248">
                  <c:v>0.15933333333333299</c:v>
                </c:pt>
                <c:pt idx="249">
                  <c:v>0.14699999999999999</c:v>
                </c:pt>
                <c:pt idx="250">
                  <c:v>0.16500000000000001</c:v>
                </c:pt>
                <c:pt idx="251">
                  <c:v>0.16366666666666699</c:v>
                </c:pt>
                <c:pt idx="252">
                  <c:v>0.14833333333333301</c:v>
                </c:pt>
                <c:pt idx="253">
                  <c:v>0.1585</c:v>
                </c:pt>
                <c:pt idx="254">
                  <c:v>0.159</c:v>
                </c:pt>
                <c:pt idx="255">
                  <c:v>0.14883333333333301</c:v>
                </c:pt>
                <c:pt idx="256">
                  <c:v>0.140666666666667</c:v>
                </c:pt>
                <c:pt idx="257">
                  <c:v>0.166333333333333</c:v>
                </c:pt>
                <c:pt idx="258">
                  <c:v>0.15</c:v>
                </c:pt>
                <c:pt idx="259">
                  <c:v>0.151733333333333</c:v>
                </c:pt>
                <c:pt idx="260">
                  <c:v>0.15083333333333299</c:v>
                </c:pt>
                <c:pt idx="261">
                  <c:v>0.1595</c:v>
                </c:pt>
                <c:pt idx="262">
                  <c:v>0.151666666666667</c:v>
                </c:pt>
                <c:pt idx="263">
                  <c:v>0.168333333333333</c:v>
                </c:pt>
                <c:pt idx="264">
                  <c:v>0.150666666666667</c:v>
                </c:pt>
                <c:pt idx="265">
                  <c:v>0.136066666666667</c:v>
                </c:pt>
                <c:pt idx="266">
                  <c:v>0.15276666666666699</c:v>
                </c:pt>
                <c:pt idx="267">
                  <c:v>0.15559999999999999</c:v>
                </c:pt>
                <c:pt idx="268">
                  <c:v>0.17016666666666699</c:v>
                </c:pt>
                <c:pt idx="269">
                  <c:v>0.15216666666666701</c:v>
                </c:pt>
                <c:pt idx="270">
                  <c:v>0.15333333333333299</c:v>
                </c:pt>
                <c:pt idx="271">
                  <c:v>0.161333333333333</c:v>
                </c:pt>
                <c:pt idx="272">
                  <c:v>0.13866666666666699</c:v>
                </c:pt>
                <c:pt idx="273">
                  <c:v>0.13866666666666699</c:v>
                </c:pt>
                <c:pt idx="274">
                  <c:v>0.150666666666667</c:v>
                </c:pt>
                <c:pt idx="275">
                  <c:v>0.14449999999999999</c:v>
                </c:pt>
                <c:pt idx="276">
                  <c:v>0.13039999999999999</c:v>
                </c:pt>
              </c:numCache>
            </c:numRef>
          </c:yVal>
          <c:smooth val="0"/>
          <c:extLst>
            <c:ext xmlns:c16="http://schemas.microsoft.com/office/drawing/2014/chart" uri="{C3380CC4-5D6E-409C-BE32-E72D297353CC}">
              <c16:uniqueId val="{00000001-867C-44AE-B785-ED28D9455E30}"/>
            </c:ext>
          </c:extLst>
        </c:ser>
        <c:dLbls>
          <c:showLegendKey val="0"/>
          <c:showVal val="0"/>
          <c:showCatName val="0"/>
          <c:showSerName val="0"/>
          <c:showPercent val="0"/>
          <c:showBubbleSize val="0"/>
        </c:dLbls>
        <c:axId val="269169989"/>
        <c:axId val="848336820"/>
      </c:scatterChart>
      <c:valAx>
        <c:axId val="269169989"/>
        <c:scaling>
          <c:orientation val="minMax"/>
          <c:min val="5.9999999900000003E-2"/>
        </c:scaling>
        <c:delete val="1"/>
        <c:axPos val="b"/>
        <c:numFmt formatCode="General" sourceLinked="1"/>
        <c:majorTickMark val="none"/>
        <c:minorTickMark val="none"/>
        <c:tickLblPos val="nextTo"/>
        <c:crossAx val="848336820"/>
        <c:crosses val="autoZero"/>
        <c:crossBetween val="midCat"/>
      </c:valAx>
      <c:valAx>
        <c:axId val="848336820"/>
        <c:scaling>
          <c:orientation val="minMax"/>
          <c:min val="0.10000000100000001"/>
        </c:scaling>
        <c:delete val="1"/>
        <c:axPos val="l"/>
        <c:numFmt formatCode="0.0000" sourceLinked="1"/>
        <c:majorTickMark val="none"/>
        <c:minorTickMark val="none"/>
        <c:tickLblPos val="nextTo"/>
        <c:crossAx val="269169989"/>
        <c:crosses val="autoZero"/>
        <c:crossBetween val="midCat"/>
      </c:valAx>
      <c:spPr>
        <a:noFill/>
        <a:ln w="9525" cap="flat" cmpd="sng" algn="ctr">
          <a:noFill/>
          <a:round/>
        </a:ln>
        <a:effectLst/>
      </c:spPr>
    </c:plotArea>
    <c:plotVisOnly val="1"/>
    <c:dispBlanksAs val="gap"/>
    <c:showDLblsOverMax val="0"/>
    <c:extLst>
      <c:ext uri="{0b15fc19-7d7d-44ad-8c2d-2c3a37ce22c3}">
        <chartProps xmlns="https://web.wps.cn/et/2018/main" chartId="{07a2074b-a5e2-4fe1-905f-5f0474a9a609}"/>
      </c:ext>
    </c:extLst>
  </c:chart>
  <c:spPr>
    <a:solidFill>
      <a:srgbClr val="CCCCCC"/>
    </a:solidFill>
    <a:ln w="9525" cap="flat" cmpd="sng" algn="ctr">
      <a:solidFill>
        <a:srgbClr val="4D148C"/>
      </a:solidFill>
      <a:round/>
    </a:ln>
    <a:effectLst/>
  </c:spPr>
  <c:txPr>
    <a:bodyPr anchor="b" anchorCtr="0"/>
    <a:lstStyle/>
    <a:p>
      <a:pPr>
        <a:defRPr lang="en-US" sz="1200">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Bahnschrift" panose="020B0502040204020203" pitchFamily="34" charset="0"/>
                <a:ea typeface="Times New Roman" panose="02020603050405020304" charset="0"/>
                <a:cs typeface="Times New Roman" panose="02020603050405020304" charset="0"/>
                <a:sym typeface="Times New Roman" panose="02020603050405020304" charset="0"/>
              </a:defRPr>
            </a:pPr>
            <a:r>
              <a:rPr lang="en-US" sz="1800" b="1">
                <a:solidFill>
                  <a:srgbClr val="FF6200"/>
                </a:solidFill>
                <a:latin typeface="Bahnschrift" panose="020B0502040204020203" pitchFamily="34" charset="0"/>
                <a:ea typeface="Times New Roman" panose="02020603050405020304" charset="0"/>
                <a:cs typeface="Times New Roman" panose="02020603050405020304" charset="0"/>
                <a:sym typeface="Times New Roman" panose="02020603050405020304" charset="0"/>
              </a:rPr>
              <a:t>Tri-County</a:t>
            </a:r>
            <a:r>
              <a:rPr lang="en-US" sz="1400" b="1">
                <a:latin typeface="Bahnschrift" panose="020B0502040204020203" pitchFamily="34" charset="0"/>
                <a:ea typeface="Times New Roman" panose="02020603050405020304" charset="0"/>
                <a:cs typeface="Times New Roman" panose="02020603050405020304" charset="0"/>
                <a:sym typeface="Times New Roman" panose="02020603050405020304" charset="0"/>
              </a:rPr>
              <a:t>: </a:t>
            </a:r>
            <a:r>
              <a:rPr lang="en-US" sz="1400" b="1" i="0" u="none" strike="noStrike" baseline="0">
                <a:effectLst/>
                <a:latin typeface="Bahnschrift" panose="020B0502040204020203" pitchFamily="34" charset="0"/>
                <a:sym typeface="Times New Roman" panose="02020603050405020304" charset="0"/>
              </a:rPr>
              <a:t>Prices Ignore Cost Changes</a:t>
            </a:r>
          </a:p>
          <a:p>
            <a:pPr defTabSz="914400">
              <a:defRPr sz="1400">
                <a:latin typeface="Bahnschrift" panose="020B0502040204020203" pitchFamily="34" charset="0"/>
              </a:defRPr>
            </a:pPr>
            <a:r>
              <a:rPr lang="en-US" sz="1800" b="1" i="0" u="none" strike="noStrike" baseline="0">
                <a:solidFill>
                  <a:srgbClr val="FF0000"/>
                </a:solidFill>
                <a:effectLst/>
                <a:latin typeface="Bahnschrift" panose="020B0502040204020203" pitchFamily="34" charset="0"/>
                <a:sym typeface="Times New Roman" panose="02020603050405020304" charset="0"/>
              </a:rPr>
              <a:t>Unresponsive</a:t>
            </a:r>
            <a:endParaRPr lang="en-US" sz="1800" b="1">
              <a:solidFill>
                <a:srgbClr val="FF0000"/>
              </a:solidFill>
              <a:latin typeface="Bahnschrift" panose="020B0502040204020203" pitchFamily="34" charset="0"/>
              <a:ea typeface="Times New Roman" panose="02020603050405020304" charset="0"/>
              <a:cs typeface="Times New Roman" panose="02020603050405020304" charset="0"/>
              <a:sym typeface="Times New Roman" panose="02020603050405020304" charset="0"/>
            </a:endParaRP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Bahnschrift" panose="020B0502040204020203" pitchFamily="34" charset="0"/>
              <a:ea typeface="Times New Roman" panose="02020603050405020304" charset="0"/>
              <a:cs typeface="Times New Roman" panose="02020603050405020304" charset="0"/>
              <a:sym typeface="Times New Roman" panose="02020603050405020304" charset="0"/>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28575" cap="rnd" cmpd="sng">
                <a:solidFill>
                  <a:srgbClr val="FF0000"/>
                </a:solidFill>
                <a:prstDash val="solid"/>
                <a:headEnd type="oval" w="med" len="med"/>
                <a:tailEnd type="arrow" w="lg" len="lg"/>
              </a:ln>
              <a:effectLst/>
            </c:spPr>
            <c:trendlineType val="linear"/>
            <c:dispRSqr val="0"/>
            <c:dispEq val="0"/>
          </c:trendline>
          <c:xVal>
            <c:numRef>
              <c:f>'[1]Raw data'!$G$279:$G$393</c:f>
              <c:numCache>
                <c:formatCode>General</c:formatCode>
                <c:ptCount val="115"/>
                <c:pt idx="0">
                  <c:v>7.6399999999999996E-2</c:v>
                </c:pt>
                <c:pt idx="1">
                  <c:v>7.6399999999999996E-2</c:v>
                </c:pt>
                <c:pt idx="2">
                  <c:v>7.6399999999999996E-2</c:v>
                </c:pt>
                <c:pt idx="3">
                  <c:v>7.6399999999999996E-2</c:v>
                </c:pt>
                <c:pt idx="4">
                  <c:v>7.6300000000000007E-2</c:v>
                </c:pt>
                <c:pt idx="5">
                  <c:v>7.6300000000000007E-2</c:v>
                </c:pt>
                <c:pt idx="6">
                  <c:v>7.6300000000000007E-2</c:v>
                </c:pt>
                <c:pt idx="7">
                  <c:v>7.6300000000000007E-2</c:v>
                </c:pt>
                <c:pt idx="8">
                  <c:v>7.6300000000000007E-2</c:v>
                </c:pt>
                <c:pt idx="9">
                  <c:v>7.6300000000000007E-2</c:v>
                </c:pt>
                <c:pt idx="10">
                  <c:v>7.6300000000000007E-2</c:v>
                </c:pt>
                <c:pt idx="11">
                  <c:v>7.3999999999999996E-2</c:v>
                </c:pt>
                <c:pt idx="12">
                  <c:v>7.4099999999999999E-2</c:v>
                </c:pt>
                <c:pt idx="13">
                  <c:v>7.4099999999999999E-2</c:v>
                </c:pt>
                <c:pt idx="14">
                  <c:v>7.4099999999999999E-2</c:v>
                </c:pt>
                <c:pt idx="15">
                  <c:v>7.4099999999999999E-2</c:v>
                </c:pt>
                <c:pt idx="16">
                  <c:v>7.4099999999999999E-2</c:v>
                </c:pt>
                <c:pt idx="17">
                  <c:v>7.4099999999999999E-2</c:v>
                </c:pt>
                <c:pt idx="18">
                  <c:v>7.4099999999999999E-2</c:v>
                </c:pt>
                <c:pt idx="19">
                  <c:v>7.4099999999999999E-2</c:v>
                </c:pt>
                <c:pt idx="20">
                  <c:v>7.4099999999999999E-2</c:v>
                </c:pt>
                <c:pt idx="21">
                  <c:v>7.4099999999999999E-2</c:v>
                </c:pt>
                <c:pt idx="22">
                  <c:v>7.4099999999999999E-2</c:v>
                </c:pt>
                <c:pt idx="23">
                  <c:v>7.1599999999999997E-2</c:v>
                </c:pt>
                <c:pt idx="24">
                  <c:v>7.0699999999999999E-2</c:v>
                </c:pt>
                <c:pt idx="25">
                  <c:v>7.0699999999999999E-2</c:v>
                </c:pt>
                <c:pt idx="26">
                  <c:v>7.0699999999999999E-2</c:v>
                </c:pt>
                <c:pt idx="27">
                  <c:v>7.0699999999999999E-2</c:v>
                </c:pt>
                <c:pt idx="28">
                  <c:v>7.0699999999999999E-2</c:v>
                </c:pt>
                <c:pt idx="29">
                  <c:v>7.0699999999999999E-2</c:v>
                </c:pt>
                <c:pt idx="30">
                  <c:v>6.93E-2</c:v>
                </c:pt>
                <c:pt idx="31">
                  <c:v>6.93E-2</c:v>
                </c:pt>
                <c:pt idx="32">
                  <c:v>6.93E-2</c:v>
                </c:pt>
                <c:pt idx="33">
                  <c:v>6.93E-2</c:v>
                </c:pt>
                <c:pt idx="34">
                  <c:v>6.93E-2</c:v>
                </c:pt>
                <c:pt idx="35">
                  <c:v>6.93E-2</c:v>
                </c:pt>
                <c:pt idx="36">
                  <c:v>7.0000000000000007E-2</c:v>
                </c:pt>
                <c:pt idx="37">
                  <c:v>7.0000000000000007E-2</c:v>
                </c:pt>
                <c:pt idx="38">
                  <c:v>7.0000000000000007E-2</c:v>
                </c:pt>
                <c:pt idx="39">
                  <c:v>7.0000000000000007E-2</c:v>
                </c:pt>
                <c:pt idx="40">
                  <c:v>7.0000000000000007E-2</c:v>
                </c:pt>
                <c:pt idx="41">
                  <c:v>7.0000000000000007E-2</c:v>
                </c:pt>
                <c:pt idx="42">
                  <c:v>7.0099999999999996E-2</c:v>
                </c:pt>
                <c:pt idx="43">
                  <c:v>7.0099999999999996E-2</c:v>
                </c:pt>
                <c:pt idx="44">
                  <c:v>7.0099999999999996E-2</c:v>
                </c:pt>
                <c:pt idx="45">
                  <c:v>7.0099999999999996E-2</c:v>
                </c:pt>
                <c:pt idx="46">
                  <c:v>7.0099999999999996E-2</c:v>
                </c:pt>
                <c:pt idx="47">
                  <c:v>7.0099999999999996E-2</c:v>
                </c:pt>
                <c:pt idx="48">
                  <c:v>7.0099999999999996E-2</c:v>
                </c:pt>
                <c:pt idx="49">
                  <c:v>7.0300000000000001E-2</c:v>
                </c:pt>
                <c:pt idx="50">
                  <c:v>7.0099999999999996E-2</c:v>
                </c:pt>
                <c:pt idx="51">
                  <c:v>7.0099999999999996E-2</c:v>
                </c:pt>
                <c:pt idx="52">
                  <c:v>7.0099999999999996E-2</c:v>
                </c:pt>
                <c:pt idx="53">
                  <c:v>7.0099999999999996E-2</c:v>
                </c:pt>
                <c:pt idx="54">
                  <c:v>7.0099999999999996E-2</c:v>
                </c:pt>
                <c:pt idx="55">
                  <c:v>7.0099999999999996E-2</c:v>
                </c:pt>
                <c:pt idx="56">
                  <c:v>7.0099999999999996E-2</c:v>
                </c:pt>
                <c:pt idx="57">
                  <c:v>7.0499999999999993E-2</c:v>
                </c:pt>
                <c:pt idx="58">
                  <c:v>7.0499999999999993E-2</c:v>
                </c:pt>
                <c:pt idx="59">
                  <c:v>7.0499999999999993E-2</c:v>
                </c:pt>
                <c:pt idx="60">
                  <c:v>7.0499999999999993E-2</c:v>
                </c:pt>
                <c:pt idx="61">
                  <c:v>7.0499999999999993E-2</c:v>
                </c:pt>
                <c:pt idx="62">
                  <c:v>6.6500000000000004E-2</c:v>
                </c:pt>
                <c:pt idx="63">
                  <c:v>6.6500000000000004E-2</c:v>
                </c:pt>
                <c:pt idx="64">
                  <c:v>6.6500000000000004E-2</c:v>
                </c:pt>
                <c:pt idx="65">
                  <c:v>6.6500000000000004E-2</c:v>
                </c:pt>
                <c:pt idx="66">
                  <c:v>6.6500000000000004E-2</c:v>
                </c:pt>
                <c:pt idx="67">
                  <c:v>6.6500000000000004E-2</c:v>
                </c:pt>
                <c:pt idx="68">
                  <c:v>6.6500000000000004E-2</c:v>
                </c:pt>
                <c:pt idx="69">
                  <c:v>6.6500000000000004E-2</c:v>
                </c:pt>
                <c:pt idx="70">
                  <c:v>6.6500000000000004E-2</c:v>
                </c:pt>
                <c:pt idx="71">
                  <c:v>6.6500000000000004E-2</c:v>
                </c:pt>
                <c:pt idx="72">
                  <c:v>6.6500000000000004E-2</c:v>
                </c:pt>
                <c:pt idx="73">
                  <c:v>6.6500000000000004E-2</c:v>
                </c:pt>
                <c:pt idx="74">
                  <c:v>6.6500000000000004E-2</c:v>
                </c:pt>
                <c:pt idx="75">
                  <c:v>7.0599999999999996E-2</c:v>
                </c:pt>
                <c:pt idx="76">
                  <c:v>7.0599999999999996E-2</c:v>
                </c:pt>
                <c:pt idx="77">
                  <c:v>7.0699999999999999E-2</c:v>
                </c:pt>
                <c:pt idx="78">
                  <c:v>7.0699999999999999E-2</c:v>
                </c:pt>
                <c:pt idx="79">
                  <c:v>7.0699999999999999E-2</c:v>
                </c:pt>
                <c:pt idx="80">
                  <c:v>7.0699999999999999E-2</c:v>
                </c:pt>
                <c:pt idx="81">
                  <c:v>7.0699999999999999E-2</c:v>
                </c:pt>
                <c:pt idx="82">
                  <c:v>7.1900000000000006E-2</c:v>
                </c:pt>
                <c:pt idx="83">
                  <c:v>7.1900000000000006E-2</c:v>
                </c:pt>
                <c:pt idx="84">
                  <c:v>7.1900000000000006E-2</c:v>
                </c:pt>
                <c:pt idx="85">
                  <c:v>7.1900000000000006E-2</c:v>
                </c:pt>
                <c:pt idx="86">
                  <c:v>7.1900000000000006E-2</c:v>
                </c:pt>
                <c:pt idx="87">
                  <c:v>7.1900000000000006E-2</c:v>
                </c:pt>
                <c:pt idx="88">
                  <c:v>7.9699999999999993E-2</c:v>
                </c:pt>
                <c:pt idx="89">
                  <c:v>7.9699999999999993E-2</c:v>
                </c:pt>
                <c:pt idx="90">
                  <c:v>7.9699999999999993E-2</c:v>
                </c:pt>
                <c:pt idx="91">
                  <c:v>7.9699999999999993E-2</c:v>
                </c:pt>
                <c:pt idx="92">
                  <c:v>7.9699999999999993E-2</c:v>
                </c:pt>
                <c:pt idx="93">
                  <c:v>7.9699999999999993E-2</c:v>
                </c:pt>
                <c:pt idx="94">
                  <c:v>7.9699999999999993E-2</c:v>
                </c:pt>
                <c:pt idx="95">
                  <c:v>7.9699999999999993E-2</c:v>
                </c:pt>
                <c:pt idx="96">
                  <c:v>7.9699999999999993E-2</c:v>
                </c:pt>
                <c:pt idx="97">
                  <c:v>8.2299999999999998E-2</c:v>
                </c:pt>
                <c:pt idx="98">
                  <c:v>8.2299999999999998E-2</c:v>
                </c:pt>
                <c:pt idx="99">
                  <c:v>8.2299999999999998E-2</c:v>
                </c:pt>
                <c:pt idx="100">
                  <c:v>8.2299999999999998E-2</c:v>
                </c:pt>
                <c:pt idx="101">
                  <c:v>7.8200000000000006E-2</c:v>
                </c:pt>
                <c:pt idx="102">
                  <c:v>6.4899999999999999E-2</c:v>
                </c:pt>
                <c:pt idx="103">
                  <c:v>6.4899999999999999E-2</c:v>
                </c:pt>
                <c:pt idx="104">
                  <c:v>6.6000000000000003E-2</c:v>
                </c:pt>
                <c:pt idx="105">
                  <c:v>6.6000000000000003E-2</c:v>
                </c:pt>
                <c:pt idx="106">
                  <c:v>6.6000000000000003E-2</c:v>
                </c:pt>
                <c:pt idx="107">
                  <c:v>6.6000000000000003E-2</c:v>
                </c:pt>
                <c:pt idx="108">
                  <c:v>6.6000000000000003E-2</c:v>
                </c:pt>
                <c:pt idx="109">
                  <c:v>6.6000000000000003E-2</c:v>
                </c:pt>
                <c:pt idx="110">
                  <c:v>6.7799999999999999E-2</c:v>
                </c:pt>
                <c:pt idx="111">
                  <c:v>6.7799999999999999E-2</c:v>
                </c:pt>
                <c:pt idx="112">
                  <c:v>6.7799999999999999E-2</c:v>
                </c:pt>
                <c:pt idx="113">
                  <c:v>6.7799999999999999E-2</c:v>
                </c:pt>
                <c:pt idx="114">
                  <c:v>6.7799999999999999E-2</c:v>
                </c:pt>
              </c:numCache>
            </c:numRef>
          </c:xVal>
          <c:yVal>
            <c:numRef>
              <c:f>'[1]Raw data'!$H$279:$H$393</c:f>
              <c:numCache>
                <c:formatCode>0.0000</c:formatCode>
                <c:ptCount val="115"/>
                <c:pt idx="0">
                  <c:v>0.126</c:v>
                </c:pt>
                <c:pt idx="1">
                  <c:v>0.14449999999999999</c:v>
                </c:pt>
                <c:pt idx="2">
                  <c:v>0.1153</c:v>
                </c:pt>
                <c:pt idx="3">
                  <c:v>0.1094</c:v>
                </c:pt>
                <c:pt idx="4">
                  <c:v>0.10639999999999999</c:v>
                </c:pt>
                <c:pt idx="5">
                  <c:v>0.1074</c:v>
                </c:pt>
                <c:pt idx="6">
                  <c:v>9.8699999999999996E-2</c:v>
                </c:pt>
                <c:pt idx="7">
                  <c:v>0.104333333333333</c:v>
                </c:pt>
                <c:pt idx="8">
                  <c:v>0.1026</c:v>
                </c:pt>
                <c:pt idx="9">
                  <c:v>0.1095</c:v>
                </c:pt>
                <c:pt idx="10">
                  <c:v>0.12540000000000001</c:v>
                </c:pt>
                <c:pt idx="11">
                  <c:v>0.1275</c:v>
                </c:pt>
                <c:pt idx="12">
                  <c:v>0.13750000000000001</c:v>
                </c:pt>
                <c:pt idx="13">
                  <c:v>0.13900000000000001</c:v>
                </c:pt>
                <c:pt idx="14">
                  <c:v>0.13466666666666699</c:v>
                </c:pt>
                <c:pt idx="15">
                  <c:v>0.12889999999999999</c:v>
                </c:pt>
                <c:pt idx="16">
                  <c:v>0.13900000000000001</c:v>
                </c:pt>
                <c:pt idx="17">
                  <c:v>0.13100000000000001</c:v>
                </c:pt>
                <c:pt idx="18">
                  <c:v>0.13200000000000001</c:v>
                </c:pt>
                <c:pt idx="19">
                  <c:v>0.13466666666666699</c:v>
                </c:pt>
                <c:pt idx="20">
                  <c:v>0.1462</c:v>
                </c:pt>
                <c:pt idx="21">
                  <c:v>0.13550000000000001</c:v>
                </c:pt>
                <c:pt idx="22">
                  <c:v>0.13700000000000001</c:v>
                </c:pt>
                <c:pt idx="23">
                  <c:v>0.13</c:v>
                </c:pt>
                <c:pt idx="24">
                  <c:v>0.14000000000000001</c:v>
                </c:pt>
                <c:pt idx="25">
                  <c:v>0.14099999999999999</c:v>
                </c:pt>
                <c:pt idx="26">
                  <c:v>0.13930000000000001</c:v>
                </c:pt>
                <c:pt idx="27">
                  <c:v>0.13950000000000001</c:v>
                </c:pt>
                <c:pt idx="28">
                  <c:v>0.12989999999999999</c:v>
                </c:pt>
                <c:pt idx="29">
                  <c:v>0.13850000000000001</c:v>
                </c:pt>
                <c:pt idx="30">
                  <c:v>0.14399999999999999</c:v>
                </c:pt>
                <c:pt idx="31">
                  <c:v>0.13400000000000001</c:v>
                </c:pt>
                <c:pt idx="32">
                  <c:v>0.13450000000000001</c:v>
                </c:pt>
                <c:pt idx="33">
                  <c:v>0.1399</c:v>
                </c:pt>
                <c:pt idx="34">
                  <c:v>0.14799999999999999</c:v>
                </c:pt>
                <c:pt idx="35">
                  <c:v>0.13800000000000001</c:v>
                </c:pt>
                <c:pt idx="36">
                  <c:v>0.13400000000000001</c:v>
                </c:pt>
                <c:pt idx="37">
                  <c:v>0.14199999999999999</c:v>
                </c:pt>
                <c:pt idx="38">
                  <c:v>0.13900000000000001</c:v>
                </c:pt>
                <c:pt idx="39">
                  <c:v>0.1424</c:v>
                </c:pt>
                <c:pt idx="40">
                  <c:v>0.13489999999999999</c:v>
                </c:pt>
                <c:pt idx="41">
                  <c:v>0.14299999999999999</c:v>
                </c:pt>
                <c:pt idx="42">
                  <c:v>0.14749999999999999</c:v>
                </c:pt>
                <c:pt idx="43">
                  <c:v>0.1419</c:v>
                </c:pt>
                <c:pt idx="44">
                  <c:v>0.13916666666666699</c:v>
                </c:pt>
                <c:pt idx="45">
                  <c:v>0.14199999999999999</c:v>
                </c:pt>
                <c:pt idx="46">
                  <c:v>0.13800000000000001</c:v>
                </c:pt>
                <c:pt idx="47">
                  <c:v>0.15049999999999999</c:v>
                </c:pt>
                <c:pt idx="48">
                  <c:v>0.14099999999999999</c:v>
                </c:pt>
                <c:pt idx="49">
                  <c:v>0.14249999999999999</c:v>
                </c:pt>
                <c:pt idx="50">
                  <c:v>0.14249999999999999</c:v>
                </c:pt>
                <c:pt idx="51">
                  <c:v>0.14949999999999999</c:v>
                </c:pt>
                <c:pt idx="52">
                  <c:v>0.14050000000000001</c:v>
                </c:pt>
                <c:pt idx="53">
                  <c:v>0.145166666666667</c:v>
                </c:pt>
                <c:pt idx="54">
                  <c:v>0.14349999999999999</c:v>
                </c:pt>
                <c:pt idx="55">
                  <c:v>0.14249999999999999</c:v>
                </c:pt>
                <c:pt idx="56">
                  <c:v>0.15</c:v>
                </c:pt>
                <c:pt idx="57">
                  <c:v>0.1535</c:v>
                </c:pt>
                <c:pt idx="58">
                  <c:v>0.14874999999999999</c:v>
                </c:pt>
                <c:pt idx="59">
                  <c:v>0.13200000000000001</c:v>
                </c:pt>
                <c:pt idx="60">
                  <c:v>0.153</c:v>
                </c:pt>
                <c:pt idx="61">
                  <c:v>0.14849999999999999</c:v>
                </c:pt>
                <c:pt idx="62">
                  <c:v>0.14499999999999999</c:v>
                </c:pt>
                <c:pt idx="63">
                  <c:v>0.1525</c:v>
                </c:pt>
                <c:pt idx="64">
                  <c:v>0.14580000000000001</c:v>
                </c:pt>
                <c:pt idx="65">
                  <c:v>0.14424999999999999</c:v>
                </c:pt>
                <c:pt idx="66">
                  <c:v>0.147666666666667</c:v>
                </c:pt>
                <c:pt idx="67">
                  <c:v>0.14549999999999999</c:v>
                </c:pt>
                <c:pt idx="68">
                  <c:v>0.15</c:v>
                </c:pt>
                <c:pt idx="69">
                  <c:v>0.149666666666667</c:v>
                </c:pt>
                <c:pt idx="70">
                  <c:v>0.1555</c:v>
                </c:pt>
                <c:pt idx="71">
                  <c:v>0.15125</c:v>
                </c:pt>
                <c:pt idx="72">
                  <c:v>0.136333333333333</c:v>
                </c:pt>
                <c:pt idx="73">
                  <c:v>0.149666666666667</c:v>
                </c:pt>
                <c:pt idx="74">
                  <c:v>0.14829999999999999</c:v>
                </c:pt>
                <c:pt idx="75">
                  <c:v>0.13500000000000001</c:v>
                </c:pt>
                <c:pt idx="76">
                  <c:v>0.12533333333333299</c:v>
                </c:pt>
                <c:pt idx="77">
                  <c:v>0.1288</c:v>
                </c:pt>
                <c:pt idx="78">
                  <c:v>0.12</c:v>
                </c:pt>
                <c:pt idx="79">
                  <c:v>0.121833333333333</c:v>
                </c:pt>
                <c:pt idx="80">
                  <c:v>0.13500000000000001</c:v>
                </c:pt>
                <c:pt idx="81">
                  <c:v>0.127</c:v>
                </c:pt>
                <c:pt idx="82">
                  <c:v>0.1275</c:v>
                </c:pt>
                <c:pt idx="83">
                  <c:v>0.122</c:v>
                </c:pt>
                <c:pt idx="84">
                  <c:v>0.119066666666667</c:v>
                </c:pt>
                <c:pt idx="85">
                  <c:v>0.1225</c:v>
                </c:pt>
                <c:pt idx="86">
                  <c:v>0.122</c:v>
                </c:pt>
                <c:pt idx="87">
                  <c:v>0.149666666666667</c:v>
                </c:pt>
                <c:pt idx="88">
                  <c:v>0.15833333333333299</c:v>
                </c:pt>
                <c:pt idx="89">
                  <c:v>0.158</c:v>
                </c:pt>
                <c:pt idx="90">
                  <c:v>0.1615</c:v>
                </c:pt>
                <c:pt idx="91">
                  <c:v>0.16900000000000001</c:v>
                </c:pt>
                <c:pt idx="92">
                  <c:v>0.16243333333333301</c:v>
                </c:pt>
                <c:pt idx="93">
                  <c:v>0.153</c:v>
                </c:pt>
                <c:pt idx="94">
                  <c:v>0.1565</c:v>
                </c:pt>
                <c:pt idx="95">
                  <c:v>0.16</c:v>
                </c:pt>
                <c:pt idx="96">
                  <c:v>0.159</c:v>
                </c:pt>
                <c:pt idx="97">
                  <c:v>0.16200000000000001</c:v>
                </c:pt>
                <c:pt idx="98">
                  <c:v>0.16</c:v>
                </c:pt>
                <c:pt idx="99">
                  <c:v>0.15966666666666701</c:v>
                </c:pt>
                <c:pt idx="100">
                  <c:v>0.16</c:v>
                </c:pt>
                <c:pt idx="101">
                  <c:v>0.14899999999999999</c:v>
                </c:pt>
                <c:pt idx="102">
                  <c:v>0.14449999999999999</c:v>
                </c:pt>
                <c:pt idx="103">
                  <c:v>0.13664999999999999</c:v>
                </c:pt>
                <c:pt idx="104">
                  <c:v>0.1416</c:v>
                </c:pt>
                <c:pt idx="105">
                  <c:v>0.15</c:v>
                </c:pt>
                <c:pt idx="106">
                  <c:v>0.1328</c:v>
                </c:pt>
                <c:pt idx="107">
                  <c:v>0.140333333333333</c:v>
                </c:pt>
                <c:pt idx="108">
                  <c:v>0.1386</c:v>
                </c:pt>
                <c:pt idx="109">
                  <c:v>0.13800000000000001</c:v>
                </c:pt>
                <c:pt idx="110">
                  <c:v>0.13866666666666699</c:v>
                </c:pt>
                <c:pt idx="111">
                  <c:v>0.13866666666666699</c:v>
                </c:pt>
                <c:pt idx="112">
                  <c:v>0.134333333333333</c:v>
                </c:pt>
                <c:pt idx="113">
                  <c:v>0.139333333333333</c:v>
                </c:pt>
                <c:pt idx="114">
                  <c:v>0.13750000000000001</c:v>
                </c:pt>
              </c:numCache>
            </c:numRef>
          </c:yVal>
          <c:smooth val="0"/>
          <c:extLst>
            <c:ext xmlns:c16="http://schemas.microsoft.com/office/drawing/2014/chart" uri="{C3380CC4-5D6E-409C-BE32-E72D297353CC}">
              <c16:uniqueId val="{00000001-250D-4D4E-A6EE-E4D48210A546}"/>
            </c:ext>
          </c:extLst>
        </c:ser>
        <c:dLbls>
          <c:showLegendKey val="0"/>
          <c:showVal val="0"/>
          <c:showCatName val="0"/>
          <c:showSerName val="0"/>
          <c:showPercent val="0"/>
          <c:showBubbleSize val="0"/>
        </c:dLbls>
        <c:axId val="976283316"/>
        <c:axId val="271358565"/>
      </c:scatterChart>
      <c:valAx>
        <c:axId val="976283316"/>
        <c:scaling>
          <c:orientation val="minMax"/>
          <c:min val="6.6600000000000006E-2"/>
        </c:scaling>
        <c:delete val="1"/>
        <c:axPos val="b"/>
        <c:numFmt formatCode="General" sourceLinked="1"/>
        <c:majorTickMark val="none"/>
        <c:minorTickMark val="none"/>
        <c:tickLblPos val="nextTo"/>
        <c:crossAx val="271358565"/>
        <c:crosses val="autoZero"/>
        <c:crossBetween val="midCat"/>
      </c:valAx>
      <c:valAx>
        <c:axId val="271358565"/>
        <c:scaling>
          <c:orientation val="minMax"/>
          <c:min val="9.1115555550000005E-2"/>
        </c:scaling>
        <c:delete val="1"/>
        <c:axPos val="l"/>
        <c:numFmt formatCode="0.0000" sourceLinked="1"/>
        <c:majorTickMark val="none"/>
        <c:minorTickMark val="none"/>
        <c:tickLblPos val="nextTo"/>
        <c:crossAx val="976283316"/>
        <c:crosses val="autoZero"/>
        <c:crossBetween val="midCat"/>
      </c:valAx>
      <c:spPr>
        <a:noFill/>
        <a:ln w="9525" cap="flat" cmpd="sng" algn="ctr">
          <a:noFill/>
          <a:round/>
        </a:ln>
        <a:effectLst/>
      </c:spPr>
    </c:plotArea>
    <c:plotVisOnly val="1"/>
    <c:dispBlanksAs val="gap"/>
    <c:showDLblsOverMax val="0"/>
    <c:extLst>
      <c:ext uri="{0b15fc19-7d7d-44ad-8c2d-2c3a37ce22c3}">
        <chartProps xmlns="https://web.wps.cn/et/2018/main" chartId="{0f93fd79-9b86-4346-b8c6-52ec470f1284}"/>
      </c:ext>
    </c:extLst>
  </c:chart>
  <c:spPr>
    <a:solidFill>
      <a:srgbClr val="CCCCCC"/>
    </a:solidFill>
    <a:ln w="9525" cap="flat" cmpd="sng" algn="ctr">
      <a:solidFill>
        <a:srgbClr val="4D148C"/>
      </a:solidFill>
      <a:round/>
    </a:ln>
    <a:effectLst/>
  </c:spPr>
  <c:txPr>
    <a:bodyPr/>
    <a:lstStyle/>
    <a:p>
      <a:pPr>
        <a:defRPr lang="en-US" sz="1000">
          <a:latin typeface="Times New Roman" panose="02020603050405020304" charset="0"/>
          <a:ea typeface="Times New Roman" panose="02020603050405020304" charset="0"/>
          <a:cs typeface="Times New Roman" panose="02020603050405020304" charset="0"/>
          <a:sym typeface="Times New Roman" panose="0202060305040502030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[ASS02_MILK1_Copy.xlsx]Task3_4 Dispersion&amp;Average Pric!PivotTable5</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39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'Task3_4 Dispersion&amp;Average Pric'!$BK$13:$BK$14</c:f>
              <c:strCache>
                <c:ptCount val="1"/>
                <c:pt idx="0">
                  <c:v>SURROUND</c:v>
                </c:pt>
              </c:strCache>
            </c:strRef>
          </c:tx>
          <c:spPr>
            <a:ln w="53975" cap="rnd">
              <a:solidFill>
                <a:schemeClr val="accent1"/>
              </a:solidFill>
              <a:round/>
            </a:ln>
            <a:effectLst/>
          </c:spPr>
          <c:marker>
            <c:symbol val="none"/>
          </c:marker>
          <c:cat>
            <c:strRef>
              <c:f>'Task3_4 Dispersion&amp;Average Pric'!$BJ$15:$BJ$23</c:f>
              <c:strCache>
                <c:ptCount val="9"/>
                <c:pt idx="0">
                  <c:v>1983</c:v>
                </c:pt>
                <c:pt idx="1">
                  <c:v>1984</c:v>
                </c:pt>
                <c:pt idx="2">
                  <c:v>1985</c:v>
                </c:pt>
                <c:pt idx="3">
                  <c:v>1986</c:v>
                </c:pt>
                <c:pt idx="4">
                  <c:v>1987</c:v>
                </c:pt>
                <c:pt idx="5">
                  <c:v>1988</c:v>
                </c:pt>
                <c:pt idx="6">
                  <c:v>1989</c:v>
                </c:pt>
                <c:pt idx="7">
                  <c:v>1990</c:v>
                </c:pt>
                <c:pt idx="8">
                  <c:v>1991</c:v>
                </c:pt>
              </c:strCache>
            </c:strRef>
          </c:cat>
          <c:val>
            <c:numRef>
              <c:f>'Task3_4 Dispersion&amp;Average Pric'!$BK$15:$BK$23</c:f>
              <c:numCache>
                <c:formatCode>General</c:formatCode>
                <c:ptCount val="9"/>
                <c:pt idx="0">
                  <c:v>1.4261220532170093E-2</c:v>
                </c:pt>
                <c:pt idx="1">
                  <c:v>1.3741888595258633E-2</c:v>
                </c:pt>
                <c:pt idx="2">
                  <c:v>1.3218099479356015E-2</c:v>
                </c:pt>
                <c:pt idx="3">
                  <c:v>1.0986653404485965E-2</c:v>
                </c:pt>
                <c:pt idx="4">
                  <c:v>1.0260775598024543E-2</c:v>
                </c:pt>
                <c:pt idx="5">
                  <c:v>1.1354490056556678E-2</c:v>
                </c:pt>
                <c:pt idx="6">
                  <c:v>7.5165800612993685E-3</c:v>
                </c:pt>
                <c:pt idx="7">
                  <c:v>7.9465937949020956E-3</c:v>
                </c:pt>
                <c:pt idx="8">
                  <c:v>6.5201226982319919E-3</c:v>
                </c:pt>
              </c:numCache>
            </c:numRef>
          </c:val>
          <c:smooth val="0"/>
          <c:extLst>
            <c:ext xmlns:c16="http://schemas.microsoft.com/office/drawing/2014/chart" uri="{C3380CC4-5D6E-409C-BE32-E72D297353CC}">
              <c16:uniqueId val="{00000000-C2EF-4AA1-8C3D-0C2BE6B65E38}"/>
            </c:ext>
          </c:extLst>
        </c:ser>
        <c:ser>
          <c:idx val="1"/>
          <c:order val="1"/>
          <c:tx>
            <c:strRef>
              <c:f>'Task3_4 Dispersion&amp;Average Pric'!$BL$13:$BL$14</c:f>
              <c:strCache>
                <c:ptCount val="1"/>
                <c:pt idx="0">
                  <c:v>TRI-COUNTY</c:v>
                </c:pt>
              </c:strCache>
            </c:strRef>
          </c:tx>
          <c:spPr>
            <a:ln w="28575" cap="rnd">
              <a:solidFill>
                <a:schemeClr val="accent2"/>
              </a:solidFill>
              <a:round/>
            </a:ln>
            <a:effectLst/>
          </c:spPr>
          <c:marker>
            <c:symbol val="none"/>
          </c:marker>
          <c:cat>
            <c:strRef>
              <c:f>'Task3_4 Dispersion&amp;Average Pric'!$BJ$15:$BJ$23</c:f>
              <c:strCache>
                <c:ptCount val="9"/>
                <c:pt idx="0">
                  <c:v>1983</c:v>
                </c:pt>
                <c:pt idx="1">
                  <c:v>1984</c:v>
                </c:pt>
                <c:pt idx="2">
                  <c:v>1985</c:v>
                </c:pt>
                <c:pt idx="3">
                  <c:v>1986</c:v>
                </c:pt>
                <c:pt idx="4">
                  <c:v>1987</c:v>
                </c:pt>
                <c:pt idx="5">
                  <c:v>1988</c:v>
                </c:pt>
                <c:pt idx="6">
                  <c:v>1989</c:v>
                </c:pt>
                <c:pt idx="7">
                  <c:v>1990</c:v>
                </c:pt>
                <c:pt idx="8">
                  <c:v>1991</c:v>
                </c:pt>
              </c:strCache>
            </c:strRef>
          </c:cat>
          <c:val>
            <c:numRef>
              <c:f>'Task3_4 Dispersion&amp;Average Pric'!$BL$15:$BL$23</c:f>
              <c:numCache>
                <c:formatCode>General</c:formatCode>
                <c:ptCount val="9"/>
                <c:pt idx="0">
                  <c:v>1.4247904329331155E-2</c:v>
                </c:pt>
                <c:pt idx="1">
                  <c:v>4.7487132760125382E-3</c:v>
                </c:pt>
                <c:pt idx="2">
                  <c:v>5.3426585142604737E-3</c:v>
                </c:pt>
                <c:pt idx="3">
                  <c:v>4.4284559636765253E-3</c:v>
                </c:pt>
                <c:pt idx="4">
                  <c:v>5.27195984488317E-3</c:v>
                </c:pt>
                <c:pt idx="5">
                  <c:v>4.9909008113857428E-3</c:v>
                </c:pt>
                <c:pt idx="6">
                  <c:v>9.4499118161670368E-3</c:v>
                </c:pt>
                <c:pt idx="7">
                  <c:v>4.0729722027166553E-3</c:v>
                </c:pt>
                <c:pt idx="8">
                  <c:v>4.5816943456458365E-3</c:v>
                </c:pt>
              </c:numCache>
            </c:numRef>
          </c:val>
          <c:smooth val="0"/>
          <c:extLst>
            <c:ext xmlns:c16="http://schemas.microsoft.com/office/drawing/2014/chart" uri="{C3380CC4-5D6E-409C-BE32-E72D297353CC}">
              <c16:uniqueId val="{00000001-C2EF-4AA1-8C3D-0C2BE6B65E38}"/>
            </c:ext>
          </c:extLst>
        </c:ser>
        <c:dLbls>
          <c:showLegendKey val="0"/>
          <c:showVal val="0"/>
          <c:showCatName val="0"/>
          <c:showSerName val="0"/>
          <c:showPercent val="0"/>
          <c:showBubbleSize val="0"/>
        </c:dLbls>
        <c:smooth val="0"/>
        <c:axId val="356441887"/>
        <c:axId val="356445247"/>
      </c:lineChart>
      <c:catAx>
        <c:axId val="35644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356445247"/>
        <c:crosses val="autoZero"/>
        <c:auto val="1"/>
        <c:lblAlgn val="ctr"/>
        <c:lblOffset val="100"/>
        <c:noMultiLvlLbl val="0"/>
      </c:catAx>
      <c:valAx>
        <c:axId val="356445247"/>
        <c:scaling>
          <c:orientation val="minMax"/>
        </c:scaling>
        <c:delete val="1"/>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r>
                  <a:rPr lang="en-US" sz="1200">
                    <a:latin typeface="Bahnschrift" panose="020B0502040204020203" pitchFamily="34" charset="0"/>
                  </a:rPr>
                  <a:t>Standard Deviation</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General" sourceLinked="1"/>
        <c:majorTickMark val="none"/>
        <c:minorTickMark val="none"/>
        <c:tickLblPos val="nextTo"/>
        <c:crossAx val="356441887"/>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CC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[ASS02_MILK1_Copy.xlsx]Task3_4 Dispersion&amp;Average Pric!PivotTable4</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603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'Task3_4 Dispersion&amp;Average Pric'!$BK$44:$BK$45</c:f>
              <c:strCache>
                <c:ptCount val="1"/>
                <c:pt idx="0">
                  <c:v>SURROUND</c:v>
                </c:pt>
              </c:strCache>
            </c:strRef>
          </c:tx>
          <c:spPr>
            <a:ln w="28575" cap="rnd">
              <a:solidFill>
                <a:schemeClr val="accent1"/>
              </a:solidFill>
              <a:round/>
            </a:ln>
            <a:effectLst/>
          </c:spPr>
          <c:marker>
            <c:symbol val="none"/>
          </c:marker>
          <c:cat>
            <c:strRef>
              <c:f>'Task3_4 Dispersion&amp;Average Pric'!$BJ$46:$BJ$54</c:f>
              <c:strCache>
                <c:ptCount val="9"/>
                <c:pt idx="0">
                  <c:v>1983</c:v>
                </c:pt>
                <c:pt idx="1">
                  <c:v>1984</c:v>
                </c:pt>
                <c:pt idx="2">
                  <c:v>1985</c:v>
                </c:pt>
                <c:pt idx="3">
                  <c:v>1986</c:v>
                </c:pt>
                <c:pt idx="4">
                  <c:v>1987</c:v>
                </c:pt>
                <c:pt idx="5">
                  <c:v>1988</c:v>
                </c:pt>
                <c:pt idx="6">
                  <c:v>1989</c:v>
                </c:pt>
                <c:pt idx="7">
                  <c:v>1990</c:v>
                </c:pt>
                <c:pt idx="8">
                  <c:v>1991</c:v>
                </c:pt>
              </c:strCache>
            </c:strRef>
          </c:cat>
          <c:val>
            <c:numRef>
              <c:f>'Task3_4 Dispersion&amp;Average Pric'!$BK$46:$BK$54</c:f>
              <c:numCache>
                <c:formatCode>General</c:formatCode>
                <c:ptCount val="9"/>
                <c:pt idx="0">
                  <c:v>0.13171739130434801</c:v>
                </c:pt>
                <c:pt idx="1">
                  <c:v>0.13089545454545501</c:v>
                </c:pt>
                <c:pt idx="2">
                  <c:v>0.12791538461538501</c:v>
                </c:pt>
                <c:pt idx="3">
                  <c:v>0.12530303030303</c:v>
                </c:pt>
                <c:pt idx="4">
                  <c:v>0.126386111111111</c:v>
                </c:pt>
                <c:pt idx="5">
                  <c:v>0.12768888888888899</c:v>
                </c:pt>
                <c:pt idx="6">
                  <c:v>0.129731578947368</c:v>
                </c:pt>
                <c:pt idx="7">
                  <c:v>0.16094</c:v>
                </c:pt>
                <c:pt idx="8">
                  <c:v>0.14518</c:v>
                </c:pt>
              </c:numCache>
            </c:numRef>
          </c:val>
          <c:smooth val="0"/>
          <c:extLst>
            <c:ext xmlns:c16="http://schemas.microsoft.com/office/drawing/2014/chart" uri="{C3380CC4-5D6E-409C-BE32-E72D297353CC}">
              <c16:uniqueId val="{00000000-265B-47ED-BEF7-409700170ED8}"/>
            </c:ext>
          </c:extLst>
        </c:ser>
        <c:ser>
          <c:idx val="1"/>
          <c:order val="1"/>
          <c:tx>
            <c:strRef>
              <c:f>'Task3_4 Dispersion&amp;Average Pric'!$BL$44:$BL$45</c:f>
              <c:strCache>
                <c:ptCount val="1"/>
                <c:pt idx="0">
                  <c:v>TRI-COUNTY</c:v>
                </c:pt>
              </c:strCache>
            </c:strRef>
          </c:tx>
          <c:spPr>
            <a:ln w="60325" cap="rnd">
              <a:solidFill>
                <a:schemeClr val="accent2"/>
              </a:solidFill>
              <a:round/>
            </a:ln>
            <a:effectLst/>
          </c:spPr>
          <c:marker>
            <c:symbol val="none"/>
          </c:marker>
          <c:cat>
            <c:strRef>
              <c:f>'Task3_4 Dispersion&amp;Average Pric'!$BJ$46:$BJ$54</c:f>
              <c:strCache>
                <c:ptCount val="9"/>
                <c:pt idx="0">
                  <c:v>1983</c:v>
                </c:pt>
                <c:pt idx="1">
                  <c:v>1984</c:v>
                </c:pt>
                <c:pt idx="2">
                  <c:v>1985</c:v>
                </c:pt>
                <c:pt idx="3">
                  <c:v>1986</c:v>
                </c:pt>
                <c:pt idx="4">
                  <c:v>1987</c:v>
                </c:pt>
                <c:pt idx="5">
                  <c:v>1988</c:v>
                </c:pt>
                <c:pt idx="6">
                  <c:v>1989</c:v>
                </c:pt>
                <c:pt idx="7">
                  <c:v>1990</c:v>
                </c:pt>
                <c:pt idx="8">
                  <c:v>1991</c:v>
                </c:pt>
              </c:strCache>
            </c:strRef>
          </c:cat>
          <c:val>
            <c:numRef>
              <c:f>'Task3_4 Dispersion&amp;Average Pric'!$BL$46:$BL$54</c:f>
              <c:numCache>
                <c:formatCode>General</c:formatCode>
                <c:ptCount val="9"/>
                <c:pt idx="0">
                  <c:v>0.118644444444444</c:v>
                </c:pt>
                <c:pt idx="1">
                  <c:v>0.13885555555555601</c:v>
                </c:pt>
                <c:pt idx="2">
                  <c:v>0.14152000000000001</c:v>
                </c:pt>
                <c:pt idx="3">
                  <c:v>0.14463000000000001</c:v>
                </c:pt>
                <c:pt idx="4">
                  <c:v>0.149458333333333</c:v>
                </c:pt>
                <c:pt idx="5">
                  <c:v>0.15129999999999999</c:v>
                </c:pt>
                <c:pt idx="6">
                  <c:v>0.13139166666666699</c:v>
                </c:pt>
                <c:pt idx="7">
                  <c:v>0.16200769230769199</c:v>
                </c:pt>
                <c:pt idx="8">
                  <c:v>0.14117692307692301</c:v>
                </c:pt>
              </c:numCache>
            </c:numRef>
          </c:val>
          <c:smooth val="0"/>
          <c:extLst>
            <c:ext xmlns:c16="http://schemas.microsoft.com/office/drawing/2014/chart" uri="{C3380CC4-5D6E-409C-BE32-E72D297353CC}">
              <c16:uniqueId val="{00000001-265B-47ED-BEF7-409700170ED8}"/>
            </c:ext>
          </c:extLst>
        </c:ser>
        <c:dLbls>
          <c:showLegendKey val="0"/>
          <c:showVal val="0"/>
          <c:showCatName val="0"/>
          <c:showSerName val="0"/>
          <c:showPercent val="0"/>
          <c:showBubbleSize val="0"/>
        </c:dLbls>
        <c:smooth val="0"/>
        <c:axId val="2096329360"/>
        <c:axId val="2096339440"/>
      </c:lineChart>
      <c:catAx>
        <c:axId val="209632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2096339440"/>
        <c:crosses val="autoZero"/>
        <c:auto val="1"/>
        <c:lblAlgn val="ctr"/>
        <c:lblOffset val="100"/>
        <c:noMultiLvlLbl val="0"/>
      </c:catAx>
      <c:valAx>
        <c:axId val="2096339440"/>
        <c:scaling>
          <c:orientation val="minMax"/>
          <c:max val="0.18000000000000002"/>
          <c:min val="0.1"/>
        </c:scaling>
        <c:delete val="1"/>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r>
                  <a:rPr lang="en-US" sz="1200">
                    <a:latin typeface="Bahnschrift" panose="020B0502040204020203" pitchFamily="34" charset="0"/>
                  </a:rPr>
                  <a:t>Average winning</a:t>
                </a:r>
                <a:r>
                  <a:rPr lang="en-US" sz="1200" baseline="0">
                    <a:latin typeface="Bahnschrift" panose="020B0502040204020203" pitchFamily="34" charset="0"/>
                  </a:rPr>
                  <a:t> bid price</a:t>
                </a:r>
                <a:endParaRPr lang="en-US" sz="1200">
                  <a:latin typeface="Bahnschrift" panose="020B0502040204020203" pitchFamily="34" charset="0"/>
                </a:endParaRP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title>
        <c:numFmt formatCode="General" sourceLinked="1"/>
        <c:majorTickMark val="none"/>
        <c:minorTickMark val="none"/>
        <c:tickLblPos val="nextTo"/>
        <c:crossAx val="2096329360"/>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CCCCC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5</xdr:row>
      <xdr:rowOff>0</xdr:rowOff>
    </xdr:from>
    <xdr:to>
      <xdr:col>24</xdr:col>
      <xdr:colOff>389867</xdr:colOff>
      <xdr:row>23</xdr:row>
      <xdr:rowOff>85357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0282555" y="809625"/>
          <a:ext cx="5189855" cy="2999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911860</xdr:colOff>
      <xdr:row>14</xdr:row>
      <xdr:rowOff>64770</xdr:rowOff>
    </xdr:from>
    <xdr:ext cx="5033010" cy="422910"/>
    <mc:AlternateContent xmlns:mc="http://schemas.openxmlformats.org/markup-compatibility/2006" xmlns:a14="http://schemas.microsoft.com/office/drawing/2010/main">
      <mc:Choice Requires="a14">
        <xdr:sp macro="" textlink="">
          <xdr:nvSpPr>
            <xdr:cNvPr id="2" name="Text Box 1">
              <a:extLst>
                <a:ext uri="{FF2B5EF4-FFF2-40B4-BE49-F238E27FC236}">
                  <a16:creationId xmlns:a16="http://schemas.microsoft.com/office/drawing/2014/main" id="{00000000-0008-0000-0100-000002000000}"/>
                </a:ext>
              </a:extLst>
            </xdr:cNvPr>
            <xdr:cNvSpPr txBox="1"/>
          </xdr:nvSpPr>
          <xdr:spPr>
            <a:xfrm>
              <a:off x="7030085" y="2331720"/>
              <a:ext cx="5033010" cy="4229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14:m>
                <m:oMathPara xmlns:m="http://schemas.openxmlformats.org/officeDocument/2006/math">
                  <m:oMathParaPr>
                    <m:jc m:val="centerGroup"/>
                  </m:oMathParaPr>
                  <m:oMath xmlns:m="http://schemas.openxmlformats.org/officeDocument/2006/math">
                    <m:r>
                      <a:rPr lang="en-US" sz="1100" i="1">
                        <a:latin typeface="Cambria Math" panose="02040503050406030204" charset="0"/>
                        <a:cs typeface="Cambria Math" panose="02040503050406030204" charset="0"/>
                      </a:rPr>
                      <m:t>𝑀𝑎𝑟𝑘𝑒𝑡</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𝑠h𝑎𝑟𝑒</m:t>
                    </m:r>
                    <m:r>
                      <a:rPr lang="en-US" sz="1100" i="1">
                        <a:latin typeface="Cambria Math" panose="02040503050406030204" charset="0"/>
                        <a:cs typeface="Cambria Math" panose="02040503050406030204" charset="0"/>
                      </a:rPr>
                      <m:t> (%)=</m:t>
                    </m:r>
                    <m:f>
                      <m:fPr>
                        <m:ctrlPr>
                          <a:rPr lang="en-US" sz="1100" i="1">
                            <a:latin typeface="Cambria Math" panose="02040503050406030204" pitchFamily="18" charset="0"/>
                            <a:cs typeface="Cambria Math" panose="02040503050406030204" charset="0"/>
                          </a:rPr>
                        </m:ctrlPr>
                      </m:fPr>
                      <m:num>
                        <m:r>
                          <a:rPr lang="en-US" sz="1100" i="1">
                            <a:latin typeface="Cambria Math" panose="02040503050406030204" charset="0"/>
                            <a:cs typeface="Cambria Math" panose="02040503050406030204" charset="0"/>
                          </a:rPr>
                          <m:t>𝑁𝑢𝑚𝑏𝑒𝑟</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𝑜𝑓</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𝑚𝑖𝑙𝑘</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h𝑎𝑙𝑓</m:t>
                        </m:r>
                        <m:r>
                          <a:rPr lang="en-US" sz="1100" i="1">
                            <a:latin typeface="Cambria Math" panose="02040503050406030204" charset="0"/>
                            <a:cs typeface="Cambria Math" panose="02040503050406030204" charset="0"/>
                          </a:rPr>
                          <m:t>−</m:t>
                        </m:r>
                        <m:r>
                          <a:rPr lang="en-US" sz="1100" i="1">
                            <a:latin typeface="Cambria Math" panose="02040503050406030204" charset="0"/>
                            <a:cs typeface="Cambria Math" panose="02040503050406030204" charset="0"/>
                          </a:rPr>
                          <m:t>𝑝𝑖𝑛𝑡𝑠</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𝑠𝑢𝑝𝑝𝑙𝑖𝑒𝑑</m:t>
                        </m:r>
                      </m:num>
                      <m:den>
                        <m:r>
                          <a:rPr lang="en-US" sz="1100" i="1">
                            <a:latin typeface="Cambria Math" panose="02040503050406030204" charset="0"/>
                            <a:cs typeface="Cambria Math" panose="02040503050406030204" charset="0"/>
                          </a:rPr>
                          <m:t>𝑇𝑜𝑡𝑎𝑙</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𝑛𝑢𝑚𝑏𝑒𝑟</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𝑜𝑓</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h𝑎𝑙𝑓</m:t>
                        </m:r>
                        <m:r>
                          <a:rPr lang="en-US" sz="1100" i="1">
                            <a:latin typeface="Cambria Math" panose="02040503050406030204" charset="0"/>
                            <a:cs typeface="Cambria Math" panose="02040503050406030204" charset="0"/>
                          </a:rPr>
                          <m:t>−</m:t>
                        </m:r>
                        <m:r>
                          <a:rPr lang="en-US" sz="1100" i="1">
                            <a:latin typeface="Cambria Math" panose="02040503050406030204" charset="0"/>
                            <a:cs typeface="Cambria Math" panose="02040503050406030204" charset="0"/>
                          </a:rPr>
                          <m:t>𝑝𝑖𝑛𝑡𝑠</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𝑠𝑢𝑝𝑝𝑙𝑖𝑒𝑑</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𝑓𝑜𝑟</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𝑒𝑛𝑡𝑖𝑟𝑒</m:t>
                        </m:r>
                        <m:r>
                          <a:rPr lang="en-US" sz="1100" i="1">
                            <a:latin typeface="Cambria Math" panose="02040503050406030204" charset="0"/>
                            <a:cs typeface="Cambria Math" panose="02040503050406030204" charset="0"/>
                          </a:rPr>
                          <m:t> </m:t>
                        </m:r>
                        <m:r>
                          <a:rPr lang="en-US" sz="1100" i="1">
                            <a:latin typeface="Cambria Math" panose="02040503050406030204" charset="0"/>
                            <a:cs typeface="Cambria Math" panose="02040503050406030204" charset="0"/>
                          </a:rPr>
                          <m:t>𝑚𝑎𝑟𝑘𝑒𝑡</m:t>
                        </m:r>
                      </m:den>
                    </m:f>
                  </m:oMath>
                </m:oMathPara>
              </a14:m>
              <a:endParaRPr lang="en-US" sz="1100"/>
            </a:p>
          </xdr:txBody>
        </xdr:sp>
      </mc:Choice>
      <mc:Fallback xmlns:r="http://schemas.openxmlformats.org/officeDocument/2006/relationships" xmlns="">
        <xdr:sp>
          <xdr:nvSpPr>
            <xdr:cNvPr id="2" name="Text Box 1"/>
            <xdr:cNvSpPr txBox="1"/>
          </xdr:nvSpPr>
          <xdr:spPr>
            <a:xfrm>
              <a:off x="7030085" y="2331720"/>
              <a:ext cx="5033010" cy="4229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1100">
                  <a:latin typeface="Cambria Math" panose="02040503050406030204" charset="0"/>
                  <a:cs typeface="Cambria Math" panose="02040503050406030204" charset="0"/>
                </a:rPr>
                <a:t>𝑀𝑎𝑟𝑘𝑒𝑡</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𝑠ℎ𝑎𝑟𝑒</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𝑁𝑢𝑚𝑏𝑒𝑟</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𝑜𝑓</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𝑚𝑖𝑙𝑘</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ℎ𝑎𝑙𝑓</a:t>
              </a:r>
              <a:r>
                <a:rPr lang="en-US" sz="1100">
                  <a:latin typeface="Cambria Math" panose="02040503050406030204" charset="0"/>
                  <a:cs typeface="Cambria Math" panose="02040503050406030204" charset="0"/>
                </a:rPr>
                <a:t>−</a:t>
              </a:r>
              <a:r>
                <a:rPr lang="en-US" sz="1100">
                  <a:latin typeface="Cambria Math" panose="02040503050406030204" charset="0"/>
                  <a:cs typeface="Cambria Math" panose="02040503050406030204" charset="0"/>
                </a:rPr>
                <a:t>𝑝𝑖𝑛𝑡𝑠</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𝑠𝑢𝑝𝑝𝑙𝑖𝑒𝑑</a:t>
              </a:r>
              <a:r>
                <a:rPr lang="en-US" sz="1100">
                  <a:latin typeface="Cambria Math" panose="02040503050406030204" charset="0"/>
                  <a:cs typeface="Cambria Math" panose="02040503050406030204" charset="0"/>
                </a:rPr>
                <a:t>/</a:t>
              </a:r>
              <a:r>
                <a:rPr lang="en-US" sz="1100">
                  <a:latin typeface="Cambria Math" panose="02040503050406030204" charset="0"/>
                  <a:cs typeface="Cambria Math" panose="02040503050406030204" charset="0"/>
                </a:rPr>
                <a:t>𝑇𝑜𝑡𝑎𝑙</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𝑛𝑢𝑚𝑏𝑒𝑟</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𝑜𝑓</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ℎ𝑎𝑙𝑓</a:t>
              </a:r>
              <a:r>
                <a:rPr lang="en-US" sz="1100">
                  <a:latin typeface="Cambria Math" panose="02040503050406030204" charset="0"/>
                  <a:cs typeface="Cambria Math" panose="02040503050406030204" charset="0"/>
                </a:rPr>
                <a:t>−</a:t>
              </a:r>
              <a:r>
                <a:rPr lang="en-US" sz="1100">
                  <a:latin typeface="Cambria Math" panose="02040503050406030204" charset="0"/>
                  <a:cs typeface="Cambria Math" panose="02040503050406030204" charset="0"/>
                </a:rPr>
                <a:t>𝑝𝑖𝑛𝑡𝑠</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𝑠𝑢𝑝𝑝𝑙𝑖𝑒𝑑</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𝑓𝑜𝑟</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𝑒𝑛𝑡𝑖𝑟𝑒</a:t>
              </a:r>
              <a:r>
                <a:rPr lang="en-US" sz="1100">
                  <a:latin typeface="Cambria Math" panose="02040503050406030204" charset="0"/>
                  <a:cs typeface="Cambria Math" panose="02040503050406030204" charset="0"/>
                </a:rPr>
                <a:t> </a:t>
              </a:r>
              <a:r>
                <a:rPr lang="en-US" sz="1100">
                  <a:latin typeface="Cambria Math" panose="02040503050406030204" charset="0"/>
                  <a:cs typeface="Cambria Math" panose="02040503050406030204" charset="0"/>
                </a:rPr>
                <a:t>𝑚𝑎𝑟𝑘𝑒𝑡</a:t>
              </a:r>
              <a:endParaRPr lang="en-US" sz="1100"/>
            </a:p>
          </xdr:txBody>
        </xdr:sp>
      </mc:Fallback>
    </mc:AlternateContent>
    <xdr:clientData/>
  </xdr:oneCellAnchor>
  <xdr:twoCellAnchor>
    <xdr:from>
      <xdr:col>8</xdr:col>
      <xdr:colOff>765175</xdr:colOff>
      <xdr:row>11</xdr:row>
      <xdr:rowOff>98425</xdr:rowOff>
    </xdr:from>
    <xdr:to>
      <xdr:col>21</xdr:col>
      <xdr:colOff>585470</xdr:colOff>
      <xdr:row>43</xdr:row>
      <xdr:rowOff>92075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347980</xdr:colOff>
      <xdr:row>20</xdr:row>
      <xdr:rowOff>90170</xdr:rowOff>
    </xdr:from>
    <xdr:to>
      <xdr:col>17</xdr:col>
      <xdr:colOff>317500</xdr:colOff>
      <xdr:row>46</xdr:row>
      <xdr:rowOff>119380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410210</xdr:colOff>
      <xdr:row>0</xdr:row>
      <xdr:rowOff>161290</xdr:rowOff>
    </xdr:from>
    <xdr:to>
      <xdr:col>28</xdr:col>
      <xdr:colOff>446405</xdr:colOff>
      <xdr:row>20</xdr:row>
      <xdr:rowOff>121285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409575</xdr:colOff>
      <xdr:row>21</xdr:row>
      <xdr:rowOff>91440</xdr:rowOff>
    </xdr:from>
    <xdr:to>
      <xdr:col>28</xdr:col>
      <xdr:colOff>441325</xdr:colOff>
      <xdr:row>41</xdr:row>
      <xdr:rowOff>83185</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417195</xdr:colOff>
      <xdr:row>43</xdr:row>
      <xdr:rowOff>40640</xdr:rowOff>
    </xdr:from>
    <xdr:to>
      <xdr:col>28</xdr:col>
      <xdr:colOff>464185</xdr:colOff>
      <xdr:row>63</xdr:row>
      <xdr:rowOff>16510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276225</xdr:colOff>
      <xdr:row>61</xdr:row>
      <xdr:rowOff>128270</xdr:rowOff>
    </xdr:from>
    <xdr:to>
      <xdr:col>17</xdr:col>
      <xdr:colOff>314960</xdr:colOff>
      <xdr:row>82</xdr:row>
      <xdr:rowOff>101600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305435</xdr:colOff>
      <xdr:row>84</xdr:row>
      <xdr:rowOff>19685</xdr:rowOff>
    </xdr:from>
    <xdr:to>
      <xdr:col>17</xdr:col>
      <xdr:colOff>297815</xdr:colOff>
      <xdr:row>105</xdr:row>
      <xdr:rowOff>47625</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284480</xdr:colOff>
      <xdr:row>39</xdr:row>
      <xdr:rowOff>9525</xdr:rowOff>
    </xdr:from>
    <xdr:to>
      <xdr:col>17</xdr:col>
      <xdr:colOff>291465</xdr:colOff>
      <xdr:row>60</xdr:row>
      <xdr:rowOff>7620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869066</xdr:colOff>
      <xdr:row>4</xdr:row>
      <xdr:rowOff>113343</xdr:rowOff>
    </xdr:from>
    <xdr:to>
      <xdr:col>24</xdr:col>
      <xdr:colOff>453194</xdr:colOff>
      <xdr:row>31</xdr:row>
      <xdr:rowOff>52383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23495</xdr:colOff>
      <xdr:row>32</xdr:row>
      <xdr:rowOff>167005</xdr:rowOff>
    </xdr:from>
    <xdr:to>
      <xdr:col>24</xdr:col>
      <xdr:colOff>578485</xdr:colOff>
      <xdr:row>61</xdr:row>
      <xdr:rowOff>39370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65314</xdr:colOff>
      <xdr:row>23</xdr:row>
      <xdr:rowOff>155862</xdr:rowOff>
    </xdr:from>
    <xdr:to>
      <xdr:col>20</xdr:col>
      <xdr:colOff>544285</xdr:colOff>
      <xdr:row>65</xdr:row>
      <xdr:rowOff>86591</xdr:rowOff>
    </xdr:to>
    <xdr:sp macro="" textlink="">
      <xdr:nvSpPr>
        <xdr:cNvPr id="7" name="Rectangle 6">
          <a:extLst>
            <a:ext uri="{FF2B5EF4-FFF2-40B4-BE49-F238E27FC236}">
              <a16:creationId xmlns:a16="http://schemas.microsoft.com/office/drawing/2014/main" id="{773D5232-7AE8-8756-1228-6B8EF9B80FB9}"/>
            </a:ext>
          </a:extLst>
        </xdr:cNvPr>
        <xdr:cNvSpPr/>
      </xdr:nvSpPr>
      <xdr:spPr>
        <a:xfrm>
          <a:off x="7738976" y="3858538"/>
          <a:ext cx="4610943" cy="6692138"/>
        </a:xfrm>
        <a:prstGeom prst="rect">
          <a:avLst/>
        </a:prstGeom>
        <a:solidFill>
          <a:srgbClr val="CCCCCC"/>
        </a:solidFill>
        <a:ln>
          <a:solidFill>
            <a:srgbClr val="4D148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tx1"/>
              </a:solidFill>
              <a:effectLst/>
              <a:latin typeface="Bahnschrift" panose="020B0502040204020203" pitchFamily="34" charset="0"/>
              <a:ea typeface="+mn-ea"/>
              <a:cs typeface="+mn-cs"/>
            </a:rPr>
            <a:t>THE IMPACT OF</a:t>
          </a:r>
          <a:r>
            <a:rPr lang="en-US" sz="1800" b="1" i="0" baseline="0">
              <a:solidFill>
                <a:schemeClr val="tx1"/>
              </a:solidFill>
              <a:effectLst/>
              <a:latin typeface="Bahnschrift" panose="020B0502040204020203" pitchFamily="34" charset="0"/>
              <a:ea typeface="+mn-ea"/>
              <a:cs typeface="+mn-cs"/>
            </a:rPr>
            <a:t> COSTS ON BID PRICES</a:t>
          </a:r>
        </a:p>
        <a:p>
          <a:pPr algn="ctr"/>
          <a:r>
            <a:rPr lang="en-US" sz="1200" b="0" i="1">
              <a:solidFill>
                <a:schemeClr val="tx1"/>
              </a:solidFill>
              <a:effectLst/>
              <a:latin typeface="Bahnschrift" panose="020B0502040204020203" pitchFamily="34" charset="0"/>
              <a:ea typeface="+mn-ea"/>
              <a:cs typeface="+mn-cs"/>
            </a:rPr>
            <a:t>Tri-County prices completely ignore fluctuations in 60% of production costs</a:t>
          </a:r>
          <a:endParaRPr lang="en-US" sz="1200">
            <a:solidFill>
              <a:schemeClr val="tx1"/>
            </a:solidFill>
            <a:effectLst/>
            <a:latin typeface="Bahnschrift" panose="020B0502040204020203" pitchFamily="34" charset="0"/>
          </a:endParaRPr>
        </a:p>
      </xdr:txBody>
    </xdr:sp>
    <xdr:clientData/>
  </xdr:twoCellAnchor>
  <xdr:twoCellAnchor>
    <xdr:from>
      <xdr:col>4</xdr:col>
      <xdr:colOff>500742</xdr:colOff>
      <xdr:row>23</xdr:row>
      <xdr:rowOff>156483</xdr:rowOff>
    </xdr:from>
    <xdr:to>
      <xdr:col>12</xdr:col>
      <xdr:colOff>544285</xdr:colOff>
      <xdr:row>65</xdr:row>
      <xdr:rowOff>88447</xdr:rowOff>
    </xdr:to>
    <xdr:sp macro="" textlink="">
      <xdr:nvSpPr>
        <xdr:cNvPr id="6" name="Rectangle 5">
          <a:extLst>
            <a:ext uri="{FF2B5EF4-FFF2-40B4-BE49-F238E27FC236}">
              <a16:creationId xmlns:a16="http://schemas.microsoft.com/office/drawing/2014/main" id="{00000000-0008-0000-0600-000006000000}"/>
            </a:ext>
          </a:extLst>
        </xdr:cNvPr>
        <xdr:cNvSpPr/>
      </xdr:nvSpPr>
      <xdr:spPr>
        <a:xfrm>
          <a:off x="2861869" y="3859159"/>
          <a:ext cx="4765796" cy="6693373"/>
        </a:xfrm>
        <a:prstGeom prst="rect">
          <a:avLst/>
        </a:prstGeom>
        <a:solidFill>
          <a:srgbClr val="CCCCCC"/>
        </a:solidFill>
        <a:ln>
          <a:solidFill>
            <a:srgbClr val="4D148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latin typeface="Bahnschrift" panose="020B0502040204020203" pitchFamily="34" charset="0"/>
            </a:rPr>
            <a:t>MARKET CONCENTRATION &amp; ALLOCATION</a:t>
          </a:r>
        </a:p>
        <a:p>
          <a:pPr algn="ctr"/>
          <a:r>
            <a:rPr lang="en-US" sz="1200" b="0" i="1">
              <a:solidFill>
                <a:schemeClr val="tx1"/>
              </a:solidFill>
              <a:effectLst/>
              <a:latin typeface="Bahnschrift" panose="020B0502040204020203" pitchFamily="34" charset="0"/>
              <a:ea typeface="+mn-ea"/>
              <a:cs typeface="+mn-cs"/>
            </a:rPr>
            <a:t>A rigid 50-50 contract split combined with a &gt;90% repeat winner rate exposes severe market sharing</a:t>
          </a:r>
          <a:endParaRPr lang="en-US" sz="2000">
            <a:solidFill>
              <a:schemeClr val="tx1"/>
            </a:solidFill>
            <a:latin typeface="Bahnschrift" panose="020B0502040204020203" pitchFamily="34" charset="0"/>
          </a:endParaRPr>
        </a:p>
      </xdr:txBody>
    </xdr:sp>
    <xdr:clientData/>
  </xdr:twoCellAnchor>
  <xdr:twoCellAnchor>
    <xdr:from>
      <xdr:col>4</xdr:col>
      <xdr:colOff>500743</xdr:colOff>
      <xdr:row>9</xdr:row>
      <xdr:rowOff>54428</xdr:rowOff>
    </xdr:from>
    <xdr:to>
      <xdr:col>36</xdr:col>
      <xdr:colOff>544286</xdr:colOff>
      <xdr:row>14</xdr:row>
      <xdr:rowOff>114300</xdr:rowOff>
    </xdr:to>
    <xdr:sp macro="" textlink="">
      <xdr:nvSpPr>
        <xdr:cNvPr id="8" name="Rectangle 7">
          <a:extLst>
            <a:ext uri="{FF2B5EF4-FFF2-40B4-BE49-F238E27FC236}">
              <a16:creationId xmlns:a16="http://schemas.microsoft.com/office/drawing/2014/main" id="{00000000-0008-0000-0600-000008000000}"/>
            </a:ext>
          </a:extLst>
        </xdr:cNvPr>
        <xdr:cNvSpPr/>
      </xdr:nvSpPr>
      <xdr:spPr>
        <a:xfrm>
          <a:off x="2841172" y="1523999"/>
          <a:ext cx="18766971" cy="876301"/>
        </a:xfrm>
        <a:prstGeom prst="rect">
          <a:avLst/>
        </a:prstGeom>
        <a:solidFill>
          <a:srgbClr val="4D148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a:solidFill>
                <a:schemeClr val="bg1"/>
              </a:solidFill>
              <a:latin typeface="Bahnschrift" panose="020B0502040204020203" pitchFamily="34" charset="0"/>
            </a:rPr>
            <a:t>PROCUREMENT ANOMALY DETECTION DASHBOARD </a:t>
          </a:r>
        </a:p>
      </xdr:txBody>
    </xdr:sp>
    <xdr:clientData/>
  </xdr:twoCellAnchor>
  <xdr:twoCellAnchor>
    <xdr:from>
      <xdr:col>4</xdr:col>
      <xdr:colOff>500743</xdr:colOff>
      <xdr:row>15</xdr:row>
      <xdr:rowOff>62865</xdr:rowOff>
    </xdr:from>
    <xdr:to>
      <xdr:col>9</xdr:col>
      <xdr:colOff>449036</xdr:colOff>
      <xdr:row>18</xdr:row>
      <xdr:rowOff>5080</xdr:rowOff>
    </xdr:to>
    <xdr:sp macro="" textlink="">
      <xdr:nvSpPr>
        <xdr:cNvPr id="12" name="Rectangle 11">
          <a:extLst>
            <a:ext uri="{FF2B5EF4-FFF2-40B4-BE49-F238E27FC236}">
              <a16:creationId xmlns:a16="http://schemas.microsoft.com/office/drawing/2014/main" id="{00000000-0008-0000-0600-00000C000000}"/>
            </a:ext>
          </a:extLst>
        </xdr:cNvPr>
        <xdr:cNvSpPr/>
      </xdr:nvSpPr>
      <xdr:spPr>
        <a:xfrm>
          <a:off x="2841172" y="2512151"/>
          <a:ext cx="2873828" cy="432072"/>
        </a:xfrm>
        <a:prstGeom prst="rect">
          <a:avLst/>
        </a:prstGeom>
        <a:solidFill>
          <a:srgbClr val="FF6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a:solidFill>
                <a:schemeClr val="lt1"/>
              </a:solidFill>
              <a:effectLst/>
              <a:latin typeface="Bahnschrift" panose="020B0502040204020203" pitchFamily="34" charset="0"/>
              <a:ea typeface="+mn-ea"/>
              <a:cs typeface="+mn-cs"/>
            </a:rPr>
            <a:t>Repeat Winner Rate</a:t>
          </a:r>
          <a:endParaRPr lang="en-US" sz="1800" baseline="0">
            <a:solidFill>
              <a:schemeClr val="tx1"/>
            </a:solidFill>
            <a:latin typeface="Bahnschrift" panose="020B0502040204020203" pitchFamily="34" charset="0"/>
          </a:endParaRPr>
        </a:p>
      </xdr:txBody>
    </xdr:sp>
    <xdr:clientData/>
  </xdr:twoCellAnchor>
  <xdr:twoCellAnchor>
    <xdr:from>
      <xdr:col>7</xdr:col>
      <xdr:colOff>163285</xdr:colOff>
      <xdr:row>17</xdr:row>
      <xdr:rowOff>148589</xdr:rowOff>
    </xdr:from>
    <xdr:to>
      <xdr:col>9</xdr:col>
      <xdr:colOff>449036</xdr:colOff>
      <xdr:row>20</xdr:row>
      <xdr:rowOff>2298</xdr:rowOff>
    </xdr:to>
    <xdr:sp macro="" textlink="">
      <xdr:nvSpPr>
        <xdr:cNvPr id="14" name="Rectangle 13">
          <a:extLst>
            <a:ext uri="{FF2B5EF4-FFF2-40B4-BE49-F238E27FC236}">
              <a16:creationId xmlns:a16="http://schemas.microsoft.com/office/drawing/2014/main" id="{00000000-0008-0000-0600-00000E000000}"/>
            </a:ext>
          </a:extLst>
        </xdr:cNvPr>
        <xdr:cNvSpPr/>
      </xdr:nvSpPr>
      <xdr:spPr>
        <a:xfrm>
          <a:off x="4295257" y="2885350"/>
          <a:ext cx="1466314" cy="336666"/>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Bahnschrift" panose="020B0502040204020203" pitchFamily="34" charset="0"/>
            </a:rPr>
            <a:t>Surround</a:t>
          </a:r>
        </a:p>
      </xdr:txBody>
    </xdr:sp>
    <xdr:clientData/>
  </xdr:twoCellAnchor>
  <xdr:twoCellAnchor>
    <xdr:from>
      <xdr:col>21</xdr:col>
      <xdr:colOff>176893</xdr:colOff>
      <xdr:row>15</xdr:row>
      <xdr:rowOff>71574</xdr:rowOff>
    </xdr:from>
    <xdr:to>
      <xdr:col>30</xdr:col>
      <xdr:colOff>231322</xdr:colOff>
      <xdr:row>40</xdr:row>
      <xdr:rowOff>81642</xdr:rowOff>
    </xdr:to>
    <xdr:sp macro="" textlink="">
      <xdr:nvSpPr>
        <xdr:cNvPr id="29" name="Rectangle 28">
          <a:extLst>
            <a:ext uri="{FF2B5EF4-FFF2-40B4-BE49-F238E27FC236}">
              <a16:creationId xmlns:a16="http://schemas.microsoft.com/office/drawing/2014/main" id="{00000000-0008-0000-0600-00001D000000}"/>
            </a:ext>
          </a:extLst>
        </xdr:cNvPr>
        <xdr:cNvSpPr/>
      </xdr:nvSpPr>
      <xdr:spPr>
        <a:xfrm>
          <a:off x="12464143" y="2520860"/>
          <a:ext cx="5320393" cy="4092211"/>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a:solidFill>
                <a:schemeClr val="tx1"/>
              </a:solidFill>
              <a:effectLst/>
              <a:latin typeface="Bahnschrift" panose="020B0502040204020203" pitchFamily="34" charset="0"/>
              <a:ea typeface="+mn-ea"/>
              <a:cs typeface="+mn-cs"/>
            </a:rPr>
            <a:t>Average Contract Price</a:t>
          </a:r>
          <a:r>
            <a:rPr lang="en-US" sz="1800" b="0" i="0">
              <a:solidFill>
                <a:schemeClr val="tx1"/>
              </a:solidFill>
              <a:effectLst/>
              <a:latin typeface="Bahnschrift" panose="020B0502040204020203" pitchFamily="34" charset="0"/>
              <a:ea typeface="+mn-ea"/>
              <a:cs typeface="+mn-cs"/>
            </a:rPr>
            <a:t> </a:t>
          </a:r>
        </a:p>
        <a:p>
          <a:pPr algn="ctr"/>
          <a:r>
            <a:rPr lang="en-US" sz="1200" b="0" i="1">
              <a:solidFill>
                <a:schemeClr val="tx1"/>
              </a:solidFill>
              <a:effectLst/>
              <a:latin typeface="Bahnschrift" panose="020B0502040204020203" pitchFamily="34" charset="0"/>
              <a:ea typeface="+mn-ea"/>
              <a:cs typeface="+mn-cs"/>
            </a:rPr>
            <a:t>Lack of competition forces Tri-County to pay a significant premium</a:t>
          </a:r>
          <a:endParaRPr lang="en-US" sz="1200">
            <a:solidFill>
              <a:schemeClr val="tx1"/>
            </a:solidFill>
            <a:latin typeface="Bahnschrift" panose="020B0502040204020203" pitchFamily="34" charset="0"/>
          </a:endParaRPr>
        </a:p>
      </xdr:txBody>
    </xdr:sp>
    <xdr:clientData/>
  </xdr:twoCellAnchor>
  <xdr:twoCellAnchor>
    <xdr:from>
      <xdr:col>4</xdr:col>
      <xdr:colOff>500742</xdr:colOff>
      <xdr:row>29</xdr:row>
      <xdr:rowOff>49102</xdr:rowOff>
    </xdr:from>
    <xdr:to>
      <xdr:col>12</xdr:col>
      <xdr:colOff>547333</xdr:colOff>
      <xdr:row>47</xdr:row>
      <xdr:rowOff>13607</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500742</xdr:colOff>
      <xdr:row>46</xdr:row>
      <xdr:rowOff>122464</xdr:rowOff>
    </xdr:from>
    <xdr:to>
      <xdr:col>12</xdr:col>
      <xdr:colOff>547333</xdr:colOff>
      <xdr:row>65</xdr:row>
      <xdr:rowOff>95250</xdr:rowOff>
    </xdr:to>
    <xdr:graphicFrame macro="">
      <xdr:nvGraphicFramePr>
        <xdr:cNvPr id="31" name="Chart 30">
          <a:extLst>
            <a:ext uri="{FF2B5EF4-FFF2-40B4-BE49-F238E27FC236}">
              <a16:creationId xmlns:a16="http://schemas.microsoft.com/office/drawing/2014/main" id="{00000000-0008-0000-06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68036</xdr:colOff>
      <xdr:row>46</xdr:row>
      <xdr:rowOff>122464</xdr:rowOff>
    </xdr:from>
    <xdr:to>
      <xdr:col>20</xdr:col>
      <xdr:colOff>544286</xdr:colOff>
      <xdr:row>65</xdr:row>
      <xdr:rowOff>95250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67681</xdr:colOff>
      <xdr:row>29</xdr:row>
      <xdr:rowOff>40822</xdr:rowOff>
    </xdr:from>
    <xdr:to>
      <xdr:col>20</xdr:col>
      <xdr:colOff>544285</xdr:colOff>
      <xdr:row>46</xdr:row>
      <xdr:rowOff>136071</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163287</xdr:colOff>
      <xdr:row>41</xdr:row>
      <xdr:rowOff>113442</xdr:rowOff>
    </xdr:from>
    <xdr:to>
      <xdr:col>30</xdr:col>
      <xdr:colOff>231323</xdr:colOff>
      <xdr:row>65</xdr:row>
      <xdr:rowOff>86591</xdr:rowOff>
    </xdr:to>
    <xdr:sp macro="" textlink="">
      <xdr:nvSpPr>
        <xdr:cNvPr id="23" name="Rectangle 28">
          <a:extLst>
            <a:ext uri="{FF2B5EF4-FFF2-40B4-BE49-F238E27FC236}">
              <a16:creationId xmlns:a16="http://schemas.microsoft.com/office/drawing/2014/main" id="{00000000-0008-0000-0600-000017000000}"/>
            </a:ext>
          </a:extLst>
        </xdr:cNvPr>
        <xdr:cNvSpPr/>
      </xdr:nvSpPr>
      <xdr:spPr>
        <a:xfrm>
          <a:off x="12450537" y="6808156"/>
          <a:ext cx="5334000" cy="3892006"/>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i="0">
              <a:solidFill>
                <a:schemeClr val="tx1"/>
              </a:solidFill>
              <a:effectLst/>
              <a:latin typeface="Bahnschrift" panose="020B0502040204020203" pitchFamily="34" charset="0"/>
              <a:ea typeface="+mn-ea"/>
              <a:cs typeface="+mn-cs"/>
            </a:rPr>
            <a:t>Bid Price Volatility</a:t>
          </a:r>
        </a:p>
        <a:p>
          <a:pPr algn="ctr"/>
          <a:r>
            <a:rPr lang="en-US" sz="1200" b="0" i="1">
              <a:solidFill>
                <a:schemeClr val="tx1"/>
              </a:solidFill>
              <a:effectLst/>
              <a:latin typeface="Bahnschrift" panose="020B0502040204020203" pitchFamily="34" charset="0"/>
              <a:ea typeface="+mn-ea"/>
              <a:cs typeface="+mn-cs"/>
            </a:rPr>
            <a:t>Tri-County’s abnormally low variation is a strong red flag for price-fixing</a:t>
          </a:r>
          <a:endParaRPr lang="en-US" sz="1200">
            <a:solidFill>
              <a:schemeClr val="tx1"/>
            </a:solidFill>
            <a:latin typeface="Bahnschrift" panose="020B0502040204020203" pitchFamily="34" charset="0"/>
          </a:endParaRPr>
        </a:p>
      </xdr:txBody>
    </xdr:sp>
    <xdr:clientData/>
  </xdr:twoCellAnchor>
  <xdr:twoCellAnchor>
    <xdr:from>
      <xdr:col>4</xdr:col>
      <xdr:colOff>500743</xdr:colOff>
      <xdr:row>17</xdr:row>
      <xdr:rowOff>149226</xdr:rowOff>
    </xdr:from>
    <xdr:to>
      <xdr:col>7</xdr:col>
      <xdr:colOff>163286</xdr:colOff>
      <xdr:row>19</xdr:row>
      <xdr:rowOff>149678</xdr:rowOff>
    </xdr:to>
    <xdr:sp macro="" textlink="">
      <xdr:nvSpPr>
        <xdr:cNvPr id="24" name="Rectangle 13">
          <a:extLst>
            <a:ext uri="{FF2B5EF4-FFF2-40B4-BE49-F238E27FC236}">
              <a16:creationId xmlns:a16="http://schemas.microsoft.com/office/drawing/2014/main" id="{00000000-0008-0000-0600-000018000000}"/>
            </a:ext>
          </a:extLst>
        </xdr:cNvPr>
        <xdr:cNvSpPr/>
      </xdr:nvSpPr>
      <xdr:spPr>
        <a:xfrm>
          <a:off x="2841172" y="2925083"/>
          <a:ext cx="1417864" cy="327024"/>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400" b="1">
              <a:solidFill>
                <a:schemeClr val="tx1"/>
              </a:solidFill>
              <a:latin typeface="Bahnschrift" panose="020B0502040204020203" pitchFamily="34" charset="0"/>
            </a:rPr>
            <a:t>Tri-County</a:t>
          </a:r>
        </a:p>
      </xdr:txBody>
    </xdr:sp>
    <xdr:clientData/>
  </xdr:twoCellAnchor>
  <xdr:twoCellAnchor>
    <xdr:from>
      <xdr:col>4</xdr:col>
      <xdr:colOff>500743</xdr:colOff>
      <xdr:row>19</xdr:row>
      <xdr:rowOff>135255</xdr:rowOff>
    </xdr:from>
    <xdr:to>
      <xdr:col>7</xdr:col>
      <xdr:colOff>163286</xdr:colOff>
      <xdr:row>23</xdr:row>
      <xdr:rowOff>31750</xdr:rowOff>
    </xdr:to>
    <xdr:sp macro="" textlink="'Task 2 Incumbency rate'!T15">
      <xdr:nvSpPr>
        <xdr:cNvPr id="25" name="Rectangle 13">
          <a:extLst>
            <a:ext uri="{FF2B5EF4-FFF2-40B4-BE49-F238E27FC236}">
              <a16:creationId xmlns:a16="http://schemas.microsoft.com/office/drawing/2014/main" id="{00000000-0008-0000-0600-000019000000}"/>
            </a:ext>
          </a:extLst>
        </xdr:cNvPr>
        <xdr:cNvSpPr/>
      </xdr:nvSpPr>
      <xdr:spPr>
        <a:xfrm>
          <a:off x="2841172" y="3237684"/>
          <a:ext cx="1417864" cy="54963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A99726E6-B038-493F-804B-E048E00F7E8D}" type="TxLink">
            <a:rPr lang="en-US" sz="1800" b="0" i="0" u="none" strike="noStrike">
              <a:solidFill>
                <a:srgbClr val="000000"/>
              </a:solidFill>
              <a:latin typeface="Bahnschrift" panose="020B0502040204020203" pitchFamily="34" charset="0"/>
              <a:cs typeface="Arial"/>
            </a:rPr>
            <a:pPr algn="ctr"/>
            <a:t>76,03%</a:t>
          </a:fld>
          <a:endParaRPr lang="en-US" sz="2400" b="0">
            <a:solidFill>
              <a:schemeClr val="tx1"/>
            </a:solidFill>
            <a:latin typeface="Bahnschrift" panose="020B0502040204020203" pitchFamily="34" charset="0"/>
          </a:endParaRPr>
        </a:p>
      </xdr:txBody>
    </xdr:sp>
    <xdr:clientData/>
  </xdr:twoCellAnchor>
  <xdr:twoCellAnchor>
    <xdr:from>
      <xdr:col>7</xdr:col>
      <xdr:colOff>163285</xdr:colOff>
      <xdr:row>19</xdr:row>
      <xdr:rowOff>135255</xdr:rowOff>
    </xdr:from>
    <xdr:to>
      <xdr:col>9</xdr:col>
      <xdr:colOff>442711</xdr:colOff>
      <xdr:row>23</xdr:row>
      <xdr:rowOff>31750</xdr:rowOff>
    </xdr:to>
    <xdr:sp macro="" textlink="'Task 2 Incumbency rate'!T16">
      <xdr:nvSpPr>
        <xdr:cNvPr id="30" name="Rectangle 13">
          <a:extLst>
            <a:ext uri="{FF2B5EF4-FFF2-40B4-BE49-F238E27FC236}">
              <a16:creationId xmlns:a16="http://schemas.microsoft.com/office/drawing/2014/main" id="{00000000-0008-0000-0600-00001E000000}"/>
            </a:ext>
          </a:extLst>
        </xdr:cNvPr>
        <xdr:cNvSpPr/>
      </xdr:nvSpPr>
      <xdr:spPr>
        <a:xfrm>
          <a:off x="4295257" y="3193987"/>
          <a:ext cx="1459989" cy="54043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7800F893-B0C2-4F6D-96D9-E9F252B3502D}" type="TxLink">
            <a:rPr lang="en-US" sz="1800" b="0" i="0" u="none" strike="noStrike">
              <a:solidFill>
                <a:srgbClr val="000000"/>
              </a:solidFill>
              <a:latin typeface="Bahnschrift" panose="020B0502040204020203" pitchFamily="34" charset="0"/>
              <a:cs typeface="Arial"/>
            </a:rPr>
            <a:pPr algn="ctr"/>
            <a:t>55,28%</a:t>
          </a:fld>
          <a:endParaRPr lang="en-US" sz="2400" b="0">
            <a:solidFill>
              <a:schemeClr val="tx1"/>
            </a:solidFill>
            <a:latin typeface="Bahnschrift" panose="020B0502040204020203" pitchFamily="34" charset="0"/>
          </a:endParaRPr>
        </a:p>
      </xdr:txBody>
    </xdr:sp>
    <xdr:clientData/>
  </xdr:twoCellAnchor>
  <xdr:twoCellAnchor>
    <xdr:from>
      <xdr:col>21</xdr:col>
      <xdr:colOff>231322</xdr:colOff>
      <xdr:row>45</xdr:row>
      <xdr:rowOff>68035</xdr:rowOff>
    </xdr:from>
    <xdr:to>
      <xdr:col>30</xdr:col>
      <xdr:colOff>122466</xdr:colOff>
      <xdr:row>64</xdr:row>
      <xdr:rowOff>122464</xdr:rowOff>
    </xdr:to>
    <xdr:graphicFrame macro="">
      <xdr:nvGraphicFramePr>
        <xdr:cNvPr id="33" name="Chart 32">
          <a:extLst>
            <a:ext uri="{FF2B5EF4-FFF2-40B4-BE49-F238E27FC236}">
              <a16:creationId xmlns:a16="http://schemas.microsoft.com/office/drawing/2014/main" id="{A20AFA1A-AD1B-43B3-9138-369E6CBE3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30</xdr:col>
      <xdr:colOff>435429</xdr:colOff>
      <xdr:row>15</xdr:row>
      <xdr:rowOff>97382</xdr:rowOff>
    </xdr:from>
    <xdr:to>
      <xdr:col>36</xdr:col>
      <xdr:colOff>544286</xdr:colOff>
      <xdr:row>22</xdr:row>
      <xdr:rowOff>136071</xdr:rowOff>
    </xdr:to>
    <mc:AlternateContent xmlns:mc="http://schemas.openxmlformats.org/markup-compatibility/2006">
      <mc:Choice xmlns:a14="http://schemas.microsoft.com/office/drawing/2010/main" Requires="a14">
        <xdr:graphicFrame macro="">
          <xdr:nvGraphicFramePr>
            <xdr:cNvPr id="35" name="Products">
              <a:extLst>
                <a:ext uri="{FF2B5EF4-FFF2-40B4-BE49-F238E27FC236}">
                  <a16:creationId xmlns:a16="http://schemas.microsoft.com/office/drawing/2014/main" id="{8366FFA4-AF9C-6C59-8857-069ACC24F48D}"/>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dr:sp macro="" textlink="">
          <xdr:nvSpPr>
            <xdr:cNvPr id="0" name=""/>
            <xdr:cNvSpPr>
              <a:spLocks noTextEdit="1"/>
            </xdr:cNvSpPr>
          </xdr:nvSpPr>
          <xdr:spPr>
            <a:xfrm>
              <a:off x="18050155" y="2446012"/>
              <a:ext cx="3631802" cy="113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408215</xdr:colOff>
      <xdr:row>23</xdr:row>
      <xdr:rowOff>95250</xdr:rowOff>
    </xdr:from>
    <xdr:to>
      <xdr:col>36</xdr:col>
      <xdr:colOff>544286</xdr:colOff>
      <xdr:row>65</xdr:row>
      <xdr:rowOff>81642</xdr:rowOff>
    </xdr:to>
    <xdr:sp macro="" textlink="">
      <xdr:nvSpPr>
        <xdr:cNvPr id="36" name="Rectangle 28">
          <a:extLst>
            <a:ext uri="{FF2B5EF4-FFF2-40B4-BE49-F238E27FC236}">
              <a16:creationId xmlns:a16="http://schemas.microsoft.com/office/drawing/2014/main" id="{EDC0FDC2-5048-F15E-490F-B0BA5000040C}"/>
            </a:ext>
          </a:extLst>
        </xdr:cNvPr>
        <xdr:cNvSpPr/>
      </xdr:nvSpPr>
      <xdr:spPr>
        <a:xfrm>
          <a:off x="17961429" y="3850821"/>
          <a:ext cx="3646714" cy="6844392"/>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800" b="1" i="0">
              <a:solidFill>
                <a:schemeClr val="tx1"/>
              </a:solidFill>
              <a:effectLst/>
              <a:latin typeface="Bahnschrift" panose="020B0502040204020203" pitchFamily="34" charset="0"/>
              <a:ea typeface="+mn-ea"/>
              <a:cs typeface="+mn-cs"/>
            </a:rPr>
            <a:t>Insights</a:t>
          </a:r>
        </a:p>
        <a:p>
          <a:r>
            <a:rPr lang="en-US" sz="1400" b="1" i="0">
              <a:solidFill>
                <a:schemeClr val="tx1"/>
              </a:solidFill>
              <a:effectLst/>
              <a:latin typeface="Bahnschrift" panose="020B0502040204020203" pitchFamily="34" charset="0"/>
              <a:ea typeface="+mn-ea"/>
              <a:cs typeface="+mn-cs"/>
            </a:rPr>
            <a:t>- Market Allocation:</a:t>
          </a:r>
          <a:r>
            <a:rPr lang="en-US" sz="1400" b="0" i="0">
              <a:solidFill>
                <a:schemeClr val="tx1"/>
              </a:solidFill>
              <a:effectLst/>
              <a:latin typeface="Bahnschrift" panose="020B0502040204020203" pitchFamily="34" charset="0"/>
              <a:ea typeface="+mn-ea"/>
              <a:cs typeface="+mn-cs"/>
            </a:rPr>
            <a:t> A rigid 50-50 supplier split and extreme repeat winner rates in Tri-County expose a severe lack of competition compared to the dynamic benchmark market</a:t>
          </a: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r>
            <a:rPr lang="en-US" sz="1400" b="1" i="0">
              <a:solidFill>
                <a:schemeClr val="tx1"/>
              </a:solidFill>
              <a:effectLst/>
              <a:latin typeface="Bahnschrift" panose="020B0502040204020203" pitchFamily="34" charset="0"/>
              <a:ea typeface="+mn-ea"/>
              <a:cs typeface="+mn-cs"/>
            </a:rPr>
            <a:t>- Pricing Behavior:</a:t>
          </a:r>
          <a:r>
            <a:rPr lang="en-US" sz="1400" b="0" i="0">
              <a:solidFill>
                <a:schemeClr val="tx1"/>
              </a:solidFill>
              <a:effectLst/>
              <a:latin typeface="Bahnschrift" panose="020B0502040204020203" pitchFamily="34" charset="0"/>
              <a:ea typeface="+mn-ea"/>
              <a:cs typeface="+mn-cs"/>
            </a:rPr>
            <a:t> Unlike the Surround region, Tri-County prices completely ignore raw material cost fluctuations, strongly signaling pre-arranged fixed pricing</a:t>
          </a: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r>
            <a:rPr lang="en-US" sz="1400" b="1" i="0">
              <a:solidFill>
                <a:schemeClr val="tx1"/>
              </a:solidFill>
              <a:effectLst/>
              <a:latin typeface="Bahnschrift" panose="020B0502040204020203" pitchFamily="34" charset="0"/>
              <a:ea typeface="+mn-ea"/>
              <a:cs typeface="+mn-cs"/>
            </a:rPr>
            <a:t>- Bid Volatility:</a:t>
          </a:r>
          <a:r>
            <a:rPr lang="en-US" sz="1400" b="0" i="0">
              <a:solidFill>
                <a:schemeClr val="tx1"/>
              </a:solidFill>
              <a:effectLst/>
              <a:latin typeface="Bahnschrift" panose="020B0502040204020203" pitchFamily="34" charset="0"/>
              <a:ea typeface="+mn-ea"/>
              <a:cs typeface="+mn-cs"/>
            </a:rPr>
            <a:t> Tri-County’s abnormally low bid variation indicates an artificially controlled environment where suppliers coordinate prices rather than compete</a:t>
          </a: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endParaRPr lang="en-US" sz="1400" b="0" i="0">
            <a:solidFill>
              <a:schemeClr val="tx1"/>
            </a:solidFill>
            <a:effectLst/>
            <a:latin typeface="Bahnschrift" panose="020B0502040204020203" pitchFamily="34" charset="0"/>
            <a:ea typeface="+mn-ea"/>
            <a:cs typeface="+mn-cs"/>
          </a:endParaRPr>
        </a:p>
        <a:p>
          <a:r>
            <a:rPr lang="en-US" sz="1400" b="1" i="0">
              <a:solidFill>
                <a:schemeClr val="tx1"/>
              </a:solidFill>
              <a:effectLst/>
              <a:latin typeface="Bahnschrift" panose="020B0502040204020203" pitchFamily="34" charset="0"/>
              <a:ea typeface="+mn-ea"/>
              <a:cs typeface="+mn-cs"/>
            </a:rPr>
            <a:t>- Financial Impact:</a:t>
          </a:r>
          <a:r>
            <a:rPr lang="en-US" sz="1400" b="0" i="0">
              <a:solidFill>
                <a:schemeClr val="tx1"/>
              </a:solidFill>
              <a:effectLst/>
              <a:latin typeface="Bahnschrift" panose="020B0502040204020203" pitchFamily="34" charset="0"/>
              <a:ea typeface="+mn-ea"/>
              <a:cs typeface="+mn-cs"/>
            </a:rPr>
            <a:t> This lack of competitive bidding forces Tri-County to pay a significant price premium, severely inflating overall procurement costs.</a:t>
          </a:r>
        </a:p>
        <a:p>
          <a:r>
            <a:rPr lang="en-US">
              <a:solidFill>
                <a:schemeClr val="tx1"/>
              </a:solidFill>
              <a:latin typeface="Bahnschrift" panose="020B0502040204020203" pitchFamily="34" charset="0"/>
            </a:rPr>
            <a:t>.</a:t>
          </a:r>
        </a:p>
        <a:p>
          <a:pPr algn="l"/>
          <a:endParaRPr lang="en-US" sz="1100">
            <a:solidFill>
              <a:schemeClr val="tx1"/>
            </a:solidFill>
            <a:latin typeface="Bahnschrift" panose="020B0502040204020203" pitchFamily="34" charset="0"/>
          </a:endParaRPr>
        </a:p>
      </xdr:txBody>
    </xdr:sp>
    <xdr:clientData/>
  </xdr:twoCellAnchor>
  <xdr:twoCellAnchor>
    <xdr:from>
      <xdr:col>21</xdr:col>
      <xdr:colOff>285750</xdr:colOff>
      <xdr:row>19</xdr:row>
      <xdr:rowOff>51953</xdr:rowOff>
    </xdr:from>
    <xdr:to>
      <xdr:col>30</xdr:col>
      <xdr:colOff>217715</xdr:colOff>
      <xdr:row>40</xdr:row>
      <xdr:rowOff>81642</xdr:rowOff>
    </xdr:to>
    <xdr:graphicFrame macro="">
      <xdr:nvGraphicFramePr>
        <xdr:cNvPr id="2" name="Chart 1">
          <a:extLst>
            <a:ext uri="{FF2B5EF4-FFF2-40B4-BE49-F238E27FC236}">
              <a16:creationId xmlns:a16="http://schemas.microsoft.com/office/drawing/2014/main" id="{E918E384-36B8-4FEA-9203-377374C52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409634</xdr:colOff>
      <xdr:row>15</xdr:row>
      <xdr:rowOff>62865</xdr:rowOff>
    </xdr:from>
    <xdr:to>
      <xdr:col>15</xdr:col>
      <xdr:colOff>355314</xdr:colOff>
      <xdr:row>18</xdr:row>
      <xdr:rowOff>5080</xdr:rowOff>
    </xdr:to>
    <xdr:sp macro="" textlink="">
      <xdr:nvSpPr>
        <xdr:cNvPr id="9" name="Rectangle 8">
          <a:extLst>
            <a:ext uri="{FF2B5EF4-FFF2-40B4-BE49-F238E27FC236}">
              <a16:creationId xmlns:a16="http://schemas.microsoft.com/office/drawing/2014/main" id="{1C6340CC-3293-99C7-68C8-1333CD882EAE}"/>
            </a:ext>
          </a:extLst>
        </xdr:cNvPr>
        <xdr:cNvSpPr/>
      </xdr:nvSpPr>
      <xdr:spPr>
        <a:xfrm>
          <a:off x="6260705" y="2512151"/>
          <a:ext cx="2871216" cy="432072"/>
        </a:xfrm>
        <a:prstGeom prst="rect">
          <a:avLst/>
        </a:prstGeom>
        <a:solidFill>
          <a:srgbClr val="FF6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Bahnschrift" panose="020B0502040204020203" pitchFamily="34" charset="0"/>
              <a:ea typeface="+mn-ea"/>
              <a:cs typeface="+mn-cs"/>
            </a:rPr>
            <a:t>Cost-Price Responsiveness (r)</a:t>
          </a:r>
          <a:endParaRPr lang="en-US" sz="1400" baseline="0">
            <a:solidFill>
              <a:schemeClr val="tx1"/>
            </a:solidFill>
            <a:latin typeface="Bahnschrift" panose="020B0502040204020203" pitchFamily="34" charset="0"/>
          </a:endParaRPr>
        </a:p>
      </xdr:txBody>
    </xdr:sp>
    <xdr:clientData/>
  </xdr:twoCellAnchor>
  <xdr:twoCellAnchor>
    <xdr:from>
      <xdr:col>13</xdr:col>
      <xdr:colOff>106251</xdr:colOff>
      <xdr:row>17</xdr:row>
      <xdr:rowOff>148590</xdr:rowOff>
    </xdr:from>
    <xdr:to>
      <xdr:col>15</xdr:col>
      <xdr:colOff>353357</xdr:colOff>
      <xdr:row>19</xdr:row>
      <xdr:rowOff>151202</xdr:rowOff>
    </xdr:to>
    <xdr:sp macro="" textlink="">
      <xdr:nvSpPr>
        <xdr:cNvPr id="10" name="Rectangle 9">
          <a:extLst>
            <a:ext uri="{FF2B5EF4-FFF2-40B4-BE49-F238E27FC236}">
              <a16:creationId xmlns:a16="http://schemas.microsoft.com/office/drawing/2014/main" id="{6AC99348-7F6B-7740-9B26-DC367E6DF90C}"/>
            </a:ext>
          </a:extLst>
        </xdr:cNvPr>
        <xdr:cNvSpPr/>
      </xdr:nvSpPr>
      <xdr:spPr>
        <a:xfrm>
          <a:off x="7712644" y="2924447"/>
          <a:ext cx="1417320" cy="329184"/>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Bahnschrift" panose="020B0502040204020203" pitchFamily="34" charset="0"/>
            </a:rPr>
            <a:t>Surround</a:t>
          </a:r>
        </a:p>
      </xdr:txBody>
    </xdr:sp>
    <xdr:clientData/>
  </xdr:twoCellAnchor>
  <xdr:twoCellAnchor>
    <xdr:from>
      <xdr:col>10</xdr:col>
      <xdr:colOff>409634</xdr:colOff>
      <xdr:row>17</xdr:row>
      <xdr:rowOff>149224</xdr:rowOff>
    </xdr:from>
    <xdr:to>
      <xdr:col>13</xdr:col>
      <xdr:colOff>122463</xdr:colOff>
      <xdr:row>19</xdr:row>
      <xdr:rowOff>151836</xdr:rowOff>
    </xdr:to>
    <xdr:sp macro="" textlink="">
      <xdr:nvSpPr>
        <xdr:cNvPr id="11" name="Rectangle 13">
          <a:extLst>
            <a:ext uri="{FF2B5EF4-FFF2-40B4-BE49-F238E27FC236}">
              <a16:creationId xmlns:a16="http://schemas.microsoft.com/office/drawing/2014/main" id="{5B224A28-8670-2D00-184B-3A76379E856C}"/>
            </a:ext>
          </a:extLst>
        </xdr:cNvPr>
        <xdr:cNvSpPr/>
      </xdr:nvSpPr>
      <xdr:spPr>
        <a:xfrm>
          <a:off x="6260705" y="2925081"/>
          <a:ext cx="1468151" cy="329184"/>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400" b="1">
              <a:solidFill>
                <a:schemeClr val="tx1"/>
              </a:solidFill>
              <a:latin typeface="Bahnschrift" panose="020B0502040204020203" pitchFamily="34" charset="0"/>
            </a:rPr>
            <a:t>Tri-County</a:t>
          </a:r>
        </a:p>
      </xdr:txBody>
    </xdr:sp>
    <xdr:clientData/>
  </xdr:twoCellAnchor>
  <xdr:twoCellAnchor>
    <xdr:from>
      <xdr:col>10</xdr:col>
      <xdr:colOff>409634</xdr:colOff>
      <xdr:row>19</xdr:row>
      <xdr:rowOff>148862</xdr:rowOff>
    </xdr:from>
    <xdr:to>
      <xdr:col>13</xdr:col>
      <xdr:colOff>122463</xdr:colOff>
      <xdr:row>23</xdr:row>
      <xdr:rowOff>45357</xdr:rowOff>
    </xdr:to>
    <xdr:sp macro="" textlink="'Task 5. Cost and Price'!M3">
      <xdr:nvSpPr>
        <xdr:cNvPr id="13" name="Rectangle 13">
          <a:extLst>
            <a:ext uri="{FF2B5EF4-FFF2-40B4-BE49-F238E27FC236}">
              <a16:creationId xmlns:a16="http://schemas.microsoft.com/office/drawing/2014/main" id="{94A83D31-86DD-E714-59BA-6CEEA6D5E964}"/>
            </a:ext>
          </a:extLst>
        </xdr:cNvPr>
        <xdr:cNvSpPr/>
      </xdr:nvSpPr>
      <xdr:spPr>
        <a:xfrm>
          <a:off x="6260705" y="3251291"/>
          <a:ext cx="1468151" cy="54963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29D33E20-430C-4645-BFB5-813ACC3BABB2}" type="TxLink">
            <a:rPr lang="en-US" sz="1800" b="0" i="0" u="none" strike="noStrike">
              <a:solidFill>
                <a:srgbClr val="000000"/>
              </a:solidFill>
              <a:latin typeface="Bahnschrift" panose="020B0502040204020203" pitchFamily="34" charset="0"/>
              <a:cs typeface="Arial"/>
            </a:rPr>
            <a:pPr algn="ctr"/>
            <a:t>0,049</a:t>
          </a:fld>
          <a:endParaRPr lang="en-US" sz="2400" b="0">
            <a:solidFill>
              <a:schemeClr val="tx1"/>
            </a:solidFill>
            <a:latin typeface="Bahnschrift" panose="020B0502040204020203" pitchFamily="34" charset="0"/>
          </a:endParaRPr>
        </a:p>
      </xdr:txBody>
    </xdr:sp>
    <xdr:clientData/>
  </xdr:twoCellAnchor>
  <xdr:twoCellAnchor>
    <xdr:from>
      <xdr:col>13</xdr:col>
      <xdr:colOff>122465</xdr:colOff>
      <xdr:row>19</xdr:row>
      <xdr:rowOff>148863</xdr:rowOff>
    </xdr:from>
    <xdr:to>
      <xdr:col>15</xdr:col>
      <xdr:colOff>348675</xdr:colOff>
      <xdr:row>23</xdr:row>
      <xdr:rowOff>45358</xdr:rowOff>
    </xdr:to>
    <xdr:sp macro="" textlink="'Task 5. Cost and Price'!M2">
      <xdr:nvSpPr>
        <xdr:cNvPr id="16" name="Rectangle 13">
          <a:extLst>
            <a:ext uri="{FF2B5EF4-FFF2-40B4-BE49-F238E27FC236}">
              <a16:creationId xmlns:a16="http://schemas.microsoft.com/office/drawing/2014/main" id="{4900129F-9B7E-1594-4FA6-A6F4E3A1C2F5}"/>
            </a:ext>
          </a:extLst>
        </xdr:cNvPr>
        <xdr:cNvSpPr/>
      </xdr:nvSpPr>
      <xdr:spPr>
        <a:xfrm>
          <a:off x="7728858" y="3251292"/>
          <a:ext cx="1396424" cy="54963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86578561-122D-4CF1-96E6-C3CDAA962B0A}" type="TxLink">
            <a:rPr lang="en-US" sz="1800" b="0" i="0" u="none" strike="noStrike">
              <a:solidFill>
                <a:srgbClr val="000000"/>
              </a:solidFill>
              <a:latin typeface="Bahnschrift" panose="020B0502040204020203" pitchFamily="34" charset="0"/>
              <a:cs typeface="Arial"/>
            </a:rPr>
            <a:pPr algn="ctr"/>
            <a:t>0,514</a:t>
          </a:fld>
          <a:endParaRPr lang="en-US" sz="2400" b="0">
            <a:solidFill>
              <a:schemeClr val="tx1"/>
            </a:solidFill>
            <a:latin typeface="Bahnschrift" panose="020B0502040204020203" pitchFamily="34" charset="0"/>
          </a:endParaRPr>
        </a:p>
      </xdr:txBody>
    </xdr:sp>
    <xdr:clientData/>
  </xdr:twoCellAnchor>
  <xdr:twoCellAnchor>
    <xdr:from>
      <xdr:col>16</xdr:col>
      <xdr:colOff>136073</xdr:colOff>
      <xdr:row>15</xdr:row>
      <xdr:rowOff>62865</xdr:rowOff>
    </xdr:from>
    <xdr:to>
      <xdr:col>20</xdr:col>
      <xdr:colOff>538210</xdr:colOff>
      <xdr:row>18</xdr:row>
      <xdr:rowOff>5080</xdr:rowOff>
    </xdr:to>
    <xdr:sp macro="" textlink="">
      <xdr:nvSpPr>
        <xdr:cNvPr id="17" name="Rectangle 16">
          <a:extLst>
            <a:ext uri="{FF2B5EF4-FFF2-40B4-BE49-F238E27FC236}">
              <a16:creationId xmlns:a16="http://schemas.microsoft.com/office/drawing/2014/main" id="{D3FC6547-49C0-EDFC-F3FD-8217778B6F9A}"/>
            </a:ext>
          </a:extLst>
        </xdr:cNvPr>
        <xdr:cNvSpPr/>
      </xdr:nvSpPr>
      <xdr:spPr>
        <a:xfrm>
          <a:off x="9497787" y="2512151"/>
          <a:ext cx="2742566" cy="432072"/>
        </a:xfrm>
        <a:prstGeom prst="rect">
          <a:avLst/>
        </a:prstGeom>
        <a:solidFill>
          <a:srgbClr val="FF62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Bahnschrift" panose="020B0502040204020203" pitchFamily="34" charset="0"/>
              <a:ea typeface="+mn-ea"/>
              <a:cs typeface="+mn-cs"/>
            </a:rPr>
            <a:t>Avg. Bid Volatility ($/half-pint)</a:t>
          </a:r>
          <a:r>
            <a:rPr lang="en-US" sz="1400" b="1" i="0" baseline="0">
              <a:solidFill>
                <a:schemeClr val="lt1"/>
              </a:solidFill>
              <a:effectLst/>
              <a:latin typeface="Bahnschrift" panose="020B0502040204020203" pitchFamily="34" charset="0"/>
              <a:ea typeface="+mn-ea"/>
              <a:cs typeface="+mn-cs"/>
            </a:rPr>
            <a:t> </a:t>
          </a:r>
          <a:endParaRPr lang="en-US" sz="1400" baseline="0">
            <a:solidFill>
              <a:schemeClr val="tx1"/>
            </a:solidFill>
            <a:latin typeface="Bahnschrift" panose="020B0502040204020203" pitchFamily="34" charset="0"/>
          </a:endParaRPr>
        </a:p>
      </xdr:txBody>
    </xdr:sp>
    <xdr:clientData/>
  </xdr:twoCellAnchor>
  <xdr:twoCellAnchor>
    <xdr:from>
      <xdr:col>18</xdr:col>
      <xdr:colOff>340178</xdr:colOff>
      <xdr:row>17</xdr:row>
      <xdr:rowOff>148590</xdr:rowOff>
    </xdr:from>
    <xdr:to>
      <xdr:col>20</xdr:col>
      <xdr:colOff>538209</xdr:colOff>
      <xdr:row>19</xdr:row>
      <xdr:rowOff>149678</xdr:rowOff>
    </xdr:to>
    <xdr:sp macro="" textlink="">
      <xdr:nvSpPr>
        <xdr:cNvPr id="26" name="Rectangle 25">
          <a:extLst>
            <a:ext uri="{FF2B5EF4-FFF2-40B4-BE49-F238E27FC236}">
              <a16:creationId xmlns:a16="http://schemas.microsoft.com/office/drawing/2014/main" id="{C580C0B4-1923-52AD-5EF9-FD5290D04878}"/>
            </a:ext>
          </a:extLst>
        </xdr:cNvPr>
        <xdr:cNvSpPr/>
      </xdr:nvSpPr>
      <xdr:spPr>
        <a:xfrm>
          <a:off x="10872107" y="2924447"/>
          <a:ext cx="1368245" cy="327660"/>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Bahnschrift" panose="020B0502040204020203" pitchFamily="34" charset="0"/>
            </a:rPr>
            <a:t>Surround</a:t>
          </a:r>
        </a:p>
      </xdr:txBody>
    </xdr:sp>
    <xdr:clientData/>
  </xdr:twoCellAnchor>
  <xdr:twoCellAnchor>
    <xdr:from>
      <xdr:col>16</xdr:col>
      <xdr:colOff>130391</xdr:colOff>
      <xdr:row>17</xdr:row>
      <xdr:rowOff>149225</xdr:rowOff>
    </xdr:from>
    <xdr:to>
      <xdr:col>18</xdr:col>
      <xdr:colOff>340177</xdr:colOff>
      <xdr:row>19</xdr:row>
      <xdr:rowOff>163284</xdr:rowOff>
    </xdr:to>
    <xdr:sp macro="" textlink="">
      <xdr:nvSpPr>
        <xdr:cNvPr id="27" name="Rectangle 13">
          <a:extLst>
            <a:ext uri="{FF2B5EF4-FFF2-40B4-BE49-F238E27FC236}">
              <a16:creationId xmlns:a16="http://schemas.microsoft.com/office/drawing/2014/main" id="{3FA84A27-3465-D225-5035-A38288E5F812}"/>
            </a:ext>
          </a:extLst>
        </xdr:cNvPr>
        <xdr:cNvSpPr/>
      </xdr:nvSpPr>
      <xdr:spPr>
        <a:xfrm>
          <a:off x="9492105" y="2925082"/>
          <a:ext cx="1380001" cy="340631"/>
        </a:xfrm>
        <a:prstGeom prst="rect">
          <a:avLst/>
        </a:prstGeom>
        <a:solidFill>
          <a:srgbClr val="CCCC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400" b="1">
              <a:solidFill>
                <a:schemeClr val="tx1"/>
              </a:solidFill>
              <a:latin typeface="Bahnschrift" panose="020B0502040204020203" pitchFamily="34" charset="0"/>
            </a:rPr>
            <a:t>Tri-County</a:t>
          </a:r>
        </a:p>
      </xdr:txBody>
    </xdr:sp>
    <xdr:clientData/>
  </xdr:twoCellAnchor>
  <xdr:twoCellAnchor>
    <xdr:from>
      <xdr:col>16</xdr:col>
      <xdr:colOff>130393</xdr:colOff>
      <xdr:row>19</xdr:row>
      <xdr:rowOff>148862</xdr:rowOff>
    </xdr:from>
    <xdr:to>
      <xdr:col>18</xdr:col>
      <xdr:colOff>340178</xdr:colOff>
      <xdr:row>23</xdr:row>
      <xdr:rowOff>45357</xdr:rowOff>
    </xdr:to>
    <xdr:sp macro="" textlink="'Task3_4 Dispersion&amp;Average Pric'!BL26">
      <xdr:nvSpPr>
        <xdr:cNvPr id="28" name="Rectangle 13">
          <a:extLst>
            <a:ext uri="{FF2B5EF4-FFF2-40B4-BE49-F238E27FC236}">
              <a16:creationId xmlns:a16="http://schemas.microsoft.com/office/drawing/2014/main" id="{900CB783-1EAD-2617-4199-11A15B84FB39}"/>
            </a:ext>
          </a:extLst>
        </xdr:cNvPr>
        <xdr:cNvSpPr/>
      </xdr:nvSpPr>
      <xdr:spPr>
        <a:xfrm>
          <a:off x="9574900" y="3207594"/>
          <a:ext cx="1390348" cy="54043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B2296F3E-E0C1-4A11-BBFE-544B67DE5903}" type="TxLink">
            <a:rPr lang="en-US" sz="1800" b="0" i="0" u="none" strike="noStrike">
              <a:solidFill>
                <a:srgbClr val="000000"/>
              </a:solidFill>
              <a:latin typeface="Bahnschrift" panose="020B0502040204020203" pitchFamily="34" charset="0"/>
              <a:cs typeface="Arial"/>
            </a:rPr>
            <a:pPr algn="ctr"/>
            <a:t>0,006</a:t>
          </a:fld>
          <a:endParaRPr lang="en-US" sz="2400" b="0">
            <a:solidFill>
              <a:schemeClr val="tx1"/>
            </a:solidFill>
            <a:latin typeface="Bahnschrift" panose="020B0502040204020203" pitchFamily="34" charset="0"/>
          </a:endParaRPr>
        </a:p>
      </xdr:txBody>
    </xdr:sp>
    <xdr:clientData/>
  </xdr:twoCellAnchor>
  <xdr:twoCellAnchor>
    <xdr:from>
      <xdr:col>18</xdr:col>
      <xdr:colOff>330665</xdr:colOff>
      <xdr:row>19</xdr:row>
      <xdr:rowOff>148862</xdr:rowOff>
    </xdr:from>
    <xdr:to>
      <xdr:col>20</xdr:col>
      <xdr:colOff>530870</xdr:colOff>
      <xdr:row>23</xdr:row>
      <xdr:rowOff>45357</xdr:rowOff>
    </xdr:to>
    <xdr:sp macro="" textlink="'Task3_4 Dispersion&amp;Average Pric'!BK26">
      <xdr:nvSpPr>
        <xdr:cNvPr id="32" name="Rectangle 13">
          <a:extLst>
            <a:ext uri="{FF2B5EF4-FFF2-40B4-BE49-F238E27FC236}">
              <a16:creationId xmlns:a16="http://schemas.microsoft.com/office/drawing/2014/main" id="{75488649-4A96-1E7E-C298-F8CB6BDDE22C}"/>
            </a:ext>
          </a:extLst>
        </xdr:cNvPr>
        <xdr:cNvSpPr/>
      </xdr:nvSpPr>
      <xdr:spPr>
        <a:xfrm>
          <a:off x="10955735" y="3207594"/>
          <a:ext cx="1380769" cy="54043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fld id="{A8084EFF-8604-487F-A85B-FA2FC308A3F4}" type="TxLink">
            <a:rPr lang="en-US" sz="1800" b="0" i="0" u="none" strike="noStrike">
              <a:solidFill>
                <a:srgbClr val="000000"/>
              </a:solidFill>
              <a:latin typeface="Bahnschrift" panose="020B0502040204020203" pitchFamily="34" charset="0"/>
              <a:cs typeface="Arial"/>
            </a:rPr>
            <a:pPr algn="ctr"/>
            <a:t>0,011</a:t>
          </a:fld>
          <a:endParaRPr lang="en-US" sz="2400" b="0">
            <a:solidFill>
              <a:schemeClr val="tx1"/>
            </a:solidFill>
            <a:latin typeface="Bahnschrift" panose="020B0502040204020203" pitchFamily="34" charset="0"/>
          </a:endParaRPr>
        </a:p>
      </xdr:txBody>
    </xdr:sp>
    <xdr:clientData/>
  </xdr:twoCellAnchor>
  <xdr:twoCellAnchor>
    <xdr:from>
      <xdr:col>6</xdr:col>
      <xdr:colOff>469542</xdr:colOff>
      <xdr:row>20</xdr:row>
      <xdr:rowOff>160985</xdr:rowOff>
    </xdr:from>
    <xdr:to>
      <xdr:col>7</xdr:col>
      <xdr:colOff>67076</xdr:colOff>
      <xdr:row>22</xdr:row>
      <xdr:rowOff>26830</xdr:rowOff>
    </xdr:to>
    <xdr:sp macro="" textlink="">
      <xdr:nvSpPr>
        <xdr:cNvPr id="46" name="Flowchart: Connector 45">
          <a:extLst>
            <a:ext uri="{FF2B5EF4-FFF2-40B4-BE49-F238E27FC236}">
              <a16:creationId xmlns:a16="http://schemas.microsoft.com/office/drawing/2014/main" id="{D0C34A12-2D1A-19F9-CE22-29A56296F59F}"/>
            </a:ext>
          </a:extLst>
        </xdr:cNvPr>
        <xdr:cNvSpPr/>
      </xdr:nvSpPr>
      <xdr:spPr>
        <a:xfrm>
          <a:off x="4011232" y="3380703"/>
          <a:ext cx="187816" cy="187817"/>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134155</xdr:colOff>
      <xdr:row>20</xdr:row>
      <xdr:rowOff>160985</xdr:rowOff>
    </xdr:from>
    <xdr:to>
      <xdr:col>9</xdr:col>
      <xdr:colOff>321971</xdr:colOff>
      <xdr:row>22</xdr:row>
      <xdr:rowOff>26830</xdr:rowOff>
    </xdr:to>
    <xdr:sp macro="" textlink="">
      <xdr:nvSpPr>
        <xdr:cNvPr id="47" name="Flowchart: Connector 46">
          <a:extLst>
            <a:ext uri="{FF2B5EF4-FFF2-40B4-BE49-F238E27FC236}">
              <a16:creationId xmlns:a16="http://schemas.microsoft.com/office/drawing/2014/main" id="{A8F8B92C-70B7-C7BD-8B6F-AB1F236A0BA1}"/>
            </a:ext>
          </a:extLst>
        </xdr:cNvPr>
        <xdr:cNvSpPr/>
      </xdr:nvSpPr>
      <xdr:spPr>
        <a:xfrm>
          <a:off x="5446690" y="3380703"/>
          <a:ext cx="187816" cy="187817"/>
        </a:xfrm>
        <a:prstGeom prst="flowChartConnector">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321973</xdr:colOff>
      <xdr:row>21</xdr:row>
      <xdr:rowOff>26829</xdr:rowOff>
    </xdr:from>
    <xdr:to>
      <xdr:col>12</xdr:col>
      <xdr:colOff>509789</xdr:colOff>
      <xdr:row>22</xdr:row>
      <xdr:rowOff>53660</xdr:rowOff>
    </xdr:to>
    <xdr:sp macro="" textlink="">
      <xdr:nvSpPr>
        <xdr:cNvPr id="48" name="Flowchart: Connector 47">
          <a:extLst>
            <a:ext uri="{FF2B5EF4-FFF2-40B4-BE49-F238E27FC236}">
              <a16:creationId xmlns:a16="http://schemas.microsoft.com/office/drawing/2014/main" id="{BC7D171C-4F70-25CE-5E88-C64EBD563C43}"/>
            </a:ext>
          </a:extLst>
        </xdr:cNvPr>
        <xdr:cNvSpPr/>
      </xdr:nvSpPr>
      <xdr:spPr>
        <a:xfrm>
          <a:off x="7405353" y="3407533"/>
          <a:ext cx="187816" cy="187817"/>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576866</xdr:colOff>
      <xdr:row>21</xdr:row>
      <xdr:rowOff>13414</xdr:rowOff>
    </xdr:from>
    <xdr:to>
      <xdr:col>15</xdr:col>
      <xdr:colOff>174401</xdr:colOff>
      <xdr:row>22</xdr:row>
      <xdr:rowOff>40245</xdr:rowOff>
    </xdr:to>
    <xdr:sp macro="" textlink="">
      <xdr:nvSpPr>
        <xdr:cNvPr id="49" name="Flowchart: Connector 48">
          <a:extLst>
            <a:ext uri="{FF2B5EF4-FFF2-40B4-BE49-F238E27FC236}">
              <a16:creationId xmlns:a16="http://schemas.microsoft.com/office/drawing/2014/main" id="{21CF324A-37C0-B464-D89B-0ED82B3C0FD4}"/>
            </a:ext>
          </a:extLst>
        </xdr:cNvPr>
        <xdr:cNvSpPr/>
      </xdr:nvSpPr>
      <xdr:spPr>
        <a:xfrm>
          <a:off x="8840810" y="3394118"/>
          <a:ext cx="187816" cy="187817"/>
        </a:xfrm>
        <a:prstGeom prst="flowChartConnector">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ng Phan" refreshedDate="46095.330460995399" createdVersion="8" refreshedVersion="8" minRefreshableVersion="3" recordCount="392" xr:uid="{00000000-000A-0000-FFFF-FFFF00000000}">
  <cacheSource type="worksheet">
    <worksheetSource ref="A1:G393" sheet="Task 01. Market share"/>
  </cacheSource>
  <cacheFields count="7">
    <cacheField name="Year" numFmtId="0">
      <sharedItems containsSemiMixedTypes="0" containsString="0" containsNumber="1" containsInteger="1" minValue="0" maxValue="1991" count="9">
        <n v="1983"/>
        <n v="1984"/>
        <n v="1985"/>
        <n v="1986"/>
        <n v="1987"/>
        <n v="1988"/>
        <n v="1989"/>
        <n v="1990"/>
        <n v="1991"/>
      </sharedItems>
    </cacheField>
    <cacheField name="Market" numFmtId="0">
      <sharedItems count="2">
        <s v="TRI-COUNTY"/>
        <s v="SURROUND"/>
      </sharedItems>
    </cacheField>
    <cacheField name="Winner" numFmtId="0">
      <sharedItems count="20">
        <s v="MEYER"/>
        <s v="TRAUTH"/>
        <s v="BORDEN"/>
        <s v="CLOVERLEAF"/>
        <s v="DEAN'S MILK"/>
        <s v="FLAV-O-RICH"/>
        <s v="FRENCH DIST."/>
        <s v="HILL'S DAIRY"/>
        <s v="HOLLAND"/>
        <s v="J. W. HAYWOOD"/>
        <s v="KRAFT"/>
        <s v="LICKING VALLEY"/>
        <s v="ROYAL CREST"/>
        <s v="SEALTEST"/>
        <s v="SOUTHEASTERN"/>
        <s v="SOUTHERN BELLE"/>
        <s v="THOMPSON"/>
        <s v="THOMPSON-GLASS"/>
        <s v="WESTOVER"/>
        <s v="WILSON DIST."/>
      </sharedItems>
    </cacheField>
    <cacheField name="WWQTY" numFmtId="0">
      <sharedItems containsSemiMixedTypes="0" containsNonDate="0" containsString="0"/>
    </cacheField>
    <cacheField name="LFWQTY" numFmtId="0">
      <sharedItems containsSemiMixedTypes="0" containsNonDate="0" containsString="0"/>
    </cacheField>
    <cacheField name="LFCQTY" numFmtId="0">
      <sharedItems containsSemiMixedTypes="0" containsNonDate="0" containsString="0"/>
    </cacheField>
    <cacheField name="Total Quantity "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ng Phan" refreshedDate="46095.3615399306" createdVersion="8" refreshedVersion="8" minRefreshableVersion="3" recordCount="392" xr:uid="{00000000-000A-0000-FFFF-FFFF01000000}">
  <cacheSource type="worksheet">
    <worksheetSource ref="A1:F393" sheet="Task 2 Incumbency rate"/>
  </cacheSource>
  <cacheFields count="6">
    <cacheField name="year" numFmtId="0">
      <sharedItems containsSemiMixedTypes="0" containsNonDate="0" containsString="0"/>
    </cacheField>
    <cacheField name="market" numFmtId="0">
      <sharedItems containsSemiMixedTypes="0" containsNonDate="0" containsString="0"/>
    </cacheField>
    <cacheField name="winner" numFmtId="0">
      <sharedItems containsSemiMixedTypes="0" containsNonDate="0" containsString="0"/>
    </cacheField>
    <cacheField name="district" numFmtId="0">
      <sharedItems containsSemiMixedTypes="0" containsNonDate="0" containsString="0"/>
    </cacheField>
    <cacheField name="Suspected bid" numFmtId="0">
      <sharedItems containsSemiMixedTypes="0" containsNonDate="0" containsString="0"/>
    </cacheField>
    <cacheField name="Total bid"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ng Phan" refreshedDate="46095.614953009259" createdVersion="8" refreshedVersion="8" minRefreshableVersion="3" recordCount="54" xr:uid="{B7598599-EA8D-4264-8C05-E1595491024B}">
  <cacheSource type="worksheet">
    <worksheetSource name="Table_Table14"/>
  </cacheSource>
  <cacheFields count="4">
    <cacheField name="Market" numFmtId="0">
      <sharedItems count="2">
        <s v="TriCounty"/>
        <s v="Surround"/>
      </sharedItems>
    </cacheField>
    <cacheField name="Year" numFmtId="0">
      <sharedItems containsSemiMixedTypes="0" containsString="0" containsNumber="1" containsInteger="1" minValue="1983" maxValue="1991" count="9">
        <n v="1983"/>
        <n v="1984"/>
        <n v="1985"/>
        <n v="1986"/>
        <n v="1987"/>
        <n v="1988"/>
        <n v="1989"/>
        <n v="1990"/>
        <n v="1991"/>
      </sharedItems>
    </cacheField>
    <cacheField name="Products" numFmtId="0">
      <sharedItems count="3">
        <s v="WWBID"/>
        <s v="LFWBID"/>
        <s v="LFCBID"/>
      </sharedItems>
    </cacheField>
    <cacheField name="Average price" numFmtId="0">
      <sharedItems containsSemiMixedTypes="0" containsString="0" containsNumber="1" minValue="0.10598" maxValue="0.16200769230769199"/>
    </cacheField>
  </cacheFields>
  <extLst>
    <ext xmlns:x14="http://schemas.microsoft.com/office/spreadsheetml/2009/9/main" uri="{725AE2AE-9491-48be-B2B4-4EB974FC3084}">
      <x14:pivotCacheDefinition pivotCacheId="114476019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ng Phan" refreshedDate="46095.626237847224" createdVersion="8" refreshedVersion="8" minRefreshableVersion="3" recordCount="54" xr:uid="{A1B088BC-5C35-45C7-9A5B-7224CDA10CB8}">
  <cacheSource type="worksheet">
    <worksheetSource name="Table_Table58"/>
  </cacheSource>
  <cacheFields count="4">
    <cacheField name="Market" numFmtId="0">
      <sharedItems count="2">
        <s v="TRI-COUNTY"/>
        <s v="SURROUND"/>
      </sharedItems>
    </cacheField>
    <cacheField name="Year" numFmtId="0">
      <sharedItems containsSemiMixedTypes="0" containsString="0" containsNumber="1" containsInteger="1" minValue="1983" maxValue="1991" count="9">
        <n v="1983"/>
        <n v="1984"/>
        <n v="1985"/>
        <n v="1986"/>
        <n v="1987"/>
        <n v="1988"/>
        <n v="1989"/>
        <n v="1990"/>
        <n v="1991"/>
      </sharedItems>
    </cacheField>
    <cacheField name="Products" numFmtId="0">
      <sharedItems count="3">
        <s v="WWBID"/>
        <s v="LFWBID"/>
        <s v="LFCBID"/>
      </sharedItems>
    </cacheField>
    <cacheField name="Standard Deviation" numFmtId="0">
      <sharedItems containsSemiMixedTypes="0" containsString="0" containsNumber="1" minValue="3.9474042103640698E-3" maxValue="1.6615045390649001E-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ung Phan" refreshedDate="46095.678910300929" createdVersion="8" refreshedVersion="8" minRefreshableVersion="3" recordCount="54" xr:uid="{A4E7FEA4-8821-465D-98DC-83B183C1B4D6}">
  <cacheSource type="worksheet">
    <worksheetSource name="Table_Average_winning_bid_prices10"/>
  </cacheSource>
  <cacheFields count="5">
    <cacheField name="Market" numFmtId="0">
      <sharedItems count="2">
        <s v="TRI-COUNTY"/>
        <s v="SURROUND"/>
      </sharedItems>
    </cacheField>
    <cacheField name="Year" numFmtId="0">
      <sharedItems containsSemiMixedTypes="0" containsString="0" containsNumber="1" containsInteger="1" minValue="1983" maxValue="1991" count="9">
        <n v="1983"/>
        <n v="1984"/>
        <n v="1985"/>
        <n v="1986"/>
        <n v="1987"/>
        <n v="1988"/>
        <n v="1989"/>
        <n v="1990"/>
        <n v="1991"/>
      </sharedItems>
    </cacheField>
    <cacheField name="Products" numFmtId="0">
      <sharedItems count="3">
        <s v="WWBID"/>
        <s v="LFWBID"/>
        <s v="LFCBID"/>
      </sharedItems>
    </cacheField>
    <cacheField name="Average winning price" numFmtId="0">
      <sharedItems containsSemiMixedTypes="0" containsString="0" containsNumber="1" minValue="0.10598" maxValue="0.16200769230769199"/>
    </cacheField>
    <cacheField name="Standard Deviation" numFmtId="0">
      <sharedItems containsSemiMixedTypes="0" containsString="0" containsNumber="1" minValue="3.9474042103640698E-3" maxValue="1.6615045390649001E-2"/>
    </cacheField>
  </cacheFields>
  <extLst>
    <ext xmlns:x14="http://schemas.microsoft.com/office/spreadsheetml/2009/9/main" uri="{725AE2AE-9491-48be-B2B4-4EB974FC3084}">
      <x14:pivotCacheDefinition pivotCacheId="1473351502"/>
    </ext>
  </extLst>
</pivotCacheDefinition>
</file>

<file path=xl/pivotCache/pivotCacheRecords1.xml><?xml version="1.0" encoding="utf-8"?>
<pivotCacheRecords xmlns="http://schemas.openxmlformats.org/spreadsheetml/2006/main" xmlns:r="http://schemas.openxmlformats.org/officeDocument/2006/relationships" count="392">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
  <r>
    <x v="0"/>
    <x v="0"/>
    <x v="0"/>
    <n v="76055"/>
    <n v="81645"/>
    <s v="."/>
    <n v="157700"/>
  </r>
  <r>
    <x v="0"/>
    <x v="0"/>
    <x v="0"/>
    <n v="51404"/>
    <n v="292086"/>
    <n v="429493"/>
    <n v="772983"/>
  </r>
  <r>
    <x v="0"/>
    <x v="0"/>
    <x v="0"/>
    <n v="195944"/>
    <n v="77752"/>
    <n v="108528"/>
    <n v="382224"/>
  </r>
  <r>
    <x v="0"/>
    <x v="0"/>
    <x v="0"/>
    <s v="."/>
    <n v="24360"/>
    <s v="."/>
    <n v="24360"/>
  </r>
  <r>
    <x v="0"/>
    <x v="0"/>
    <x v="0"/>
    <s v="."/>
    <n v="192879"/>
    <n v="1010377"/>
    <n v="1203256"/>
  </r>
  <r>
    <x v="0"/>
    <x v="0"/>
    <x v="0"/>
    <n v="10387"/>
    <n v="11750"/>
    <n v="82409"/>
    <n v="104546"/>
  </r>
  <r>
    <x v="1"/>
    <x v="0"/>
    <x v="0"/>
    <n v="183816"/>
    <n v="82416"/>
    <n v="232854"/>
    <n v="499086"/>
  </r>
  <r>
    <x v="1"/>
    <x v="0"/>
    <x v="0"/>
    <n v="51404"/>
    <n v="292086"/>
    <n v="429493"/>
    <n v="772983"/>
  </r>
  <r>
    <x v="1"/>
    <x v="0"/>
    <x v="0"/>
    <s v="."/>
    <n v="24360"/>
    <s v="."/>
    <n v="24360"/>
  </r>
  <r>
    <x v="1"/>
    <x v="0"/>
    <x v="0"/>
    <n v="10387"/>
    <n v="11750"/>
    <n v="82409"/>
    <n v="104546"/>
  </r>
  <r>
    <x v="1"/>
    <x v="0"/>
    <x v="0"/>
    <s v="."/>
    <n v="22465"/>
    <s v="."/>
    <n v="22465"/>
  </r>
  <r>
    <x v="2"/>
    <x v="0"/>
    <x v="0"/>
    <n v="129366"/>
    <n v="78807"/>
    <n v="276279"/>
    <n v="484452"/>
  </r>
  <r>
    <x v="2"/>
    <x v="0"/>
    <x v="0"/>
    <n v="19806"/>
    <n v="28090"/>
    <n v="195967"/>
    <n v="243863"/>
  </r>
  <r>
    <x v="2"/>
    <x v="0"/>
    <x v="0"/>
    <n v="49918"/>
    <n v="283645"/>
    <n v="417080"/>
    <n v="750643"/>
  </r>
  <r>
    <x v="2"/>
    <x v="0"/>
    <x v="0"/>
    <s v="."/>
    <n v="25287"/>
    <s v="."/>
    <n v="25287"/>
  </r>
  <r>
    <x v="2"/>
    <x v="0"/>
    <x v="0"/>
    <n v="11327"/>
    <n v="12814"/>
    <n v="89870"/>
    <n v="114011"/>
  </r>
  <r>
    <x v="2"/>
    <x v="0"/>
    <x v="0"/>
    <s v="."/>
    <n v="20766"/>
    <n v="300"/>
    <n v="21066"/>
  </r>
  <r>
    <x v="3"/>
    <x v="0"/>
    <x v="0"/>
    <n v="49476"/>
    <n v="281130"/>
    <n v="413383"/>
    <n v="743989"/>
  </r>
  <r>
    <x v="3"/>
    <x v="0"/>
    <x v="0"/>
    <n v="25"/>
    <n v="23683"/>
    <n v="300"/>
    <n v="24008"/>
  </r>
  <r>
    <x v="3"/>
    <x v="0"/>
    <x v="0"/>
    <n v="97891"/>
    <n v="77883"/>
    <n v="638983"/>
    <n v="814757"/>
  </r>
  <r>
    <x v="3"/>
    <x v="0"/>
    <x v="0"/>
    <n v="20528"/>
    <n v="29114"/>
    <n v="203112"/>
    <n v="252754"/>
  </r>
  <r>
    <x v="3"/>
    <x v="0"/>
    <x v="0"/>
    <n v="300"/>
    <n v="29198"/>
    <n v="10684"/>
    <n v="40182"/>
  </r>
  <r>
    <x v="3"/>
    <x v="0"/>
    <x v="0"/>
    <n v="12167"/>
    <n v="13765"/>
    <n v="96536"/>
    <n v="122468"/>
  </r>
  <r>
    <x v="4"/>
    <x v="0"/>
    <x v="0"/>
    <n v="54786"/>
    <n v="311306"/>
    <n v="457755"/>
    <n v="823847"/>
  </r>
  <r>
    <x v="4"/>
    <x v="0"/>
    <x v="0"/>
    <n v="77114"/>
    <n v="107554"/>
    <n v="925817"/>
    <n v="1110485"/>
  </r>
  <r>
    <x v="4"/>
    <x v="0"/>
    <x v="0"/>
    <s v="."/>
    <n v="21331"/>
    <s v="."/>
    <n v="21331"/>
  </r>
  <r>
    <x v="4"/>
    <x v="0"/>
    <x v="0"/>
    <n v="7980"/>
    <n v="12825"/>
    <s v="."/>
    <n v="20805"/>
  </r>
  <r>
    <x v="4"/>
    <x v="0"/>
    <x v="0"/>
    <n v="11564"/>
    <n v="13082"/>
    <n v="91746"/>
    <n v="116392"/>
  </r>
  <r>
    <x v="5"/>
    <x v="0"/>
    <x v="0"/>
    <n v="72342"/>
    <n v="131365"/>
    <n v="881599"/>
    <n v="1085306"/>
  </r>
  <r>
    <x v="5"/>
    <x v="0"/>
    <x v="0"/>
    <n v="69288"/>
    <n v="199678"/>
    <n v="722496"/>
    <n v="991462"/>
  </r>
  <r>
    <x v="5"/>
    <x v="0"/>
    <x v="0"/>
    <s v="."/>
    <n v="24866"/>
    <n v="1150"/>
    <n v="26016"/>
  </r>
  <r>
    <x v="5"/>
    <x v="0"/>
    <x v="0"/>
    <n v="7544"/>
    <n v="8205"/>
    <s v="."/>
    <n v="15749"/>
  </r>
  <r>
    <x v="5"/>
    <x v="0"/>
    <x v="0"/>
    <n v="11763"/>
    <n v="13307"/>
    <n v="93325"/>
    <n v="118395"/>
  </r>
  <r>
    <x v="6"/>
    <x v="0"/>
    <x v="0"/>
    <n v="13018"/>
    <n v="14920"/>
    <n v="676"/>
    <n v="28614"/>
  </r>
  <r>
    <x v="6"/>
    <x v="0"/>
    <x v="0"/>
    <n v="48806"/>
    <n v="62331"/>
    <s v="."/>
    <n v="111137"/>
  </r>
  <r>
    <x v="6"/>
    <x v="0"/>
    <x v="0"/>
    <s v="."/>
    <n v="23852"/>
    <n v="0"/>
    <n v="23852"/>
  </r>
  <r>
    <x v="6"/>
    <x v="0"/>
    <x v="0"/>
    <n v="6770"/>
    <n v="9289"/>
    <s v="."/>
    <n v="16059"/>
  </r>
  <r>
    <x v="6"/>
    <x v="0"/>
    <x v="0"/>
    <n v="7557"/>
    <n v="10904"/>
    <n v="29186"/>
    <n v="47647"/>
  </r>
  <r>
    <x v="6"/>
    <x v="0"/>
    <x v="0"/>
    <n v="49505"/>
    <n v="587916"/>
    <n v="187971"/>
    <n v="825392"/>
  </r>
  <r>
    <x v="6"/>
    <x v="0"/>
    <x v="0"/>
    <n v="12768"/>
    <n v="14690"/>
    <n v="93219"/>
    <n v="120677"/>
  </r>
  <r>
    <x v="7"/>
    <x v="0"/>
    <x v="0"/>
    <n v="14361"/>
    <n v="14299"/>
    <s v="."/>
    <n v="28660"/>
  </r>
  <r>
    <x v="7"/>
    <x v="0"/>
    <x v="0"/>
    <n v="5348"/>
    <n v="11783"/>
    <n v="72838"/>
    <n v="89969"/>
  </r>
  <r>
    <x v="7"/>
    <x v="0"/>
    <x v="0"/>
    <n v="5563"/>
    <n v="8085"/>
    <n v="300"/>
    <n v="13948"/>
  </r>
  <r>
    <x v="7"/>
    <x v="0"/>
    <x v="0"/>
    <n v="55589"/>
    <n v="203280"/>
    <n v="546546"/>
    <n v="805415"/>
  </r>
  <r>
    <x v="7"/>
    <x v="0"/>
    <x v="0"/>
    <n v="15331"/>
    <n v="7412"/>
    <n v="4919"/>
    <n v="27662"/>
  </r>
  <r>
    <x v="7"/>
    <x v="0"/>
    <x v="0"/>
    <n v="12525"/>
    <n v="13044"/>
    <n v="107857"/>
    <n v="133426"/>
  </r>
  <r>
    <x v="8"/>
    <x v="0"/>
    <x v="0"/>
    <n v="14361"/>
    <n v="14299"/>
    <s v="."/>
    <n v="28660"/>
  </r>
  <r>
    <x v="8"/>
    <x v="0"/>
    <x v="0"/>
    <n v="80675"/>
    <n v="184638"/>
    <n v="993193"/>
    <n v="1258506"/>
  </r>
  <r>
    <x v="8"/>
    <x v="0"/>
    <x v="0"/>
    <n v="3383"/>
    <n v="8318"/>
    <n v="21558"/>
    <n v="33259"/>
  </r>
  <r>
    <x v="8"/>
    <x v="0"/>
    <x v="0"/>
    <n v="53560"/>
    <n v="304341"/>
    <n v="447513"/>
    <n v="805414"/>
  </r>
  <r>
    <x v="8"/>
    <x v="0"/>
    <x v="0"/>
    <n v="15331"/>
    <n v="7412"/>
    <n v="4919"/>
    <n v="27662"/>
  </r>
  <r>
    <x v="8"/>
    <x v="0"/>
    <x v="0"/>
    <n v="11900"/>
    <n v="14341"/>
    <n v="94012"/>
    <n v="120253"/>
  </r>
  <r>
    <x v="0"/>
    <x v="0"/>
    <x v="1"/>
    <n v="626"/>
    <n v="30702"/>
    <s v="."/>
    <n v="31328"/>
  </r>
  <r>
    <x v="0"/>
    <x v="0"/>
    <x v="1"/>
    <n v="9026"/>
    <n v="8987"/>
    <s v="."/>
    <n v="18013"/>
  </r>
  <r>
    <x v="0"/>
    <x v="0"/>
    <x v="1"/>
    <n v="14149"/>
    <n v="6841"/>
    <s v="."/>
    <n v="20990"/>
  </r>
  <r>
    <x v="0"/>
    <x v="0"/>
    <x v="1"/>
    <n v="12946"/>
    <n v="36776"/>
    <n v="117491"/>
    <n v="167213"/>
  </r>
  <r>
    <x v="0"/>
    <x v="0"/>
    <x v="1"/>
    <n v="650"/>
    <n v="45920"/>
    <s v="."/>
    <n v="46570"/>
  </r>
  <r>
    <x v="1"/>
    <x v="0"/>
    <x v="1"/>
    <n v="0"/>
    <n v="139020"/>
    <s v="."/>
    <n v="139020"/>
  </r>
  <r>
    <x v="1"/>
    <x v="0"/>
    <x v="1"/>
    <n v="9026"/>
    <n v="8987"/>
    <s v="."/>
    <n v="18013"/>
  </r>
  <r>
    <x v="1"/>
    <x v="0"/>
    <x v="1"/>
    <n v="78447"/>
    <n v="44630"/>
    <s v="."/>
    <n v="123077"/>
  </r>
  <r>
    <x v="1"/>
    <x v="0"/>
    <x v="1"/>
    <s v="."/>
    <n v="192879"/>
    <n v="1010377"/>
    <n v="1203256"/>
  </r>
  <r>
    <x v="1"/>
    <x v="0"/>
    <x v="1"/>
    <n v="14216"/>
    <n v="8895"/>
    <s v="."/>
    <n v="23111"/>
  </r>
  <r>
    <x v="1"/>
    <x v="0"/>
    <x v="1"/>
    <n v="17953"/>
    <n v="33432"/>
    <n v="115828"/>
    <n v="167213"/>
  </r>
  <r>
    <x v="1"/>
    <x v="0"/>
    <x v="1"/>
    <n v="35941"/>
    <n v="14457"/>
    <s v="."/>
    <n v="50398"/>
  </r>
  <r>
    <x v="2"/>
    <x v="0"/>
    <x v="1"/>
    <n v="17350"/>
    <n v="116320"/>
    <s v="."/>
    <n v="133670"/>
  </r>
  <r>
    <x v="2"/>
    <x v="0"/>
    <x v="1"/>
    <n v="9170"/>
    <n v="9131"/>
    <s v="."/>
    <n v="18301"/>
  </r>
  <r>
    <x v="2"/>
    <x v="0"/>
    <x v="1"/>
    <n v="70812"/>
    <n v="51959"/>
    <s v="."/>
    <n v="122771"/>
  </r>
  <r>
    <x v="2"/>
    <x v="0"/>
    <x v="1"/>
    <s v="."/>
    <n v="193422"/>
    <n v="1013224"/>
    <n v="1206646"/>
  </r>
  <r>
    <x v="2"/>
    <x v="0"/>
    <x v="1"/>
    <n v="34164"/>
    <n v="17264"/>
    <s v="."/>
    <n v="51428"/>
  </r>
  <r>
    <x v="2"/>
    <x v="0"/>
    <x v="1"/>
    <n v="16543"/>
    <n v="3686"/>
    <s v="."/>
    <n v="20229"/>
  </r>
  <r>
    <x v="2"/>
    <x v="0"/>
    <x v="1"/>
    <n v="14962"/>
    <n v="36288"/>
    <n v="116192"/>
    <n v="167442"/>
  </r>
  <r>
    <x v="3"/>
    <x v="0"/>
    <x v="1"/>
    <n v="21714"/>
    <n v="117825"/>
    <s v="."/>
    <n v="139539"/>
  </r>
  <r>
    <x v="3"/>
    <x v="0"/>
    <x v="1"/>
    <n v="65061"/>
    <n v="52448"/>
    <s v="."/>
    <n v="117509"/>
  </r>
  <r>
    <x v="3"/>
    <x v="0"/>
    <x v="1"/>
    <n v="14040"/>
    <n v="35981"/>
    <n v="106268"/>
    <n v="156289"/>
  </r>
  <r>
    <x v="3"/>
    <x v="0"/>
    <x v="1"/>
    <s v="."/>
    <n v="187771"/>
    <n v="983621"/>
    <n v="1171392"/>
  </r>
  <r>
    <x v="3"/>
    <x v="0"/>
    <x v="1"/>
    <n v="21502"/>
    <n v="3813"/>
    <s v="."/>
    <n v="25315"/>
  </r>
  <r>
    <x v="3"/>
    <x v="0"/>
    <x v="1"/>
    <n v="9644"/>
    <n v="9602"/>
    <s v="."/>
    <n v="19246"/>
  </r>
  <r>
    <x v="3"/>
    <x v="0"/>
    <x v="1"/>
    <n v="34351"/>
    <n v="21360"/>
    <s v="."/>
    <n v="55711"/>
  </r>
  <r>
    <x v="4"/>
    <x v="0"/>
    <x v="1"/>
    <n v="60178"/>
    <n v="55880"/>
    <s v="."/>
    <n v="116058"/>
  </r>
  <r>
    <x v="4"/>
    <x v="0"/>
    <x v="1"/>
    <n v="12622"/>
    <n v="32710"/>
    <n v="104372"/>
    <n v="149704"/>
  </r>
  <r>
    <x v="4"/>
    <x v="0"/>
    <x v="1"/>
    <n v="33988"/>
    <n v="186410"/>
    <n v="976490"/>
    <n v="1196888"/>
  </r>
  <r>
    <x v="4"/>
    <x v="0"/>
    <x v="1"/>
    <n v="20819"/>
    <n v="112967"/>
    <s v="."/>
    <n v="133786"/>
  </r>
  <r>
    <x v="4"/>
    <x v="0"/>
    <x v="1"/>
    <n v="17853"/>
    <n v="6766"/>
    <s v="."/>
    <n v="24619"/>
  </r>
  <r>
    <x v="4"/>
    <x v="0"/>
    <x v="1"/>
    <n v="9174"/>
    <n v="9134"/>
    <s v="."/>
    <n v="18308"/>
  </r>
  <r>
    <x v="4"/>
    <x v="0"/>
    <x v="1"/>
    <n v="19563"/>
    <n v="28044"/>
    <n v="199242"/>
    <n v="246849"/>
  </r>
  <r>
    <x v="4"/>
    <x v="0"/>
    <x v="1"/>
    <n v="10308"/>
    <n v="9537"/>
    <n v="94292"/>
    <n v="114137"/>
  </r>
  <r>
    <x v="5"/>
    <x v="0"/>
    <x v="1"/>
    <n v="63951"/>
    <n v="63815"/>
    <s v="."/>
    <n v="127766"/>
  </r>
  <r>
    <x v="5"/>
    <x v="0"/>
    <x v="1"/>
    <n v="58173"/>
    <n v="134692"/>
    <n v="905805"/>
    <n v="1098670"/>
  </r>
  <r>
    <x v="5"/>
    <x v="0"/>
    <x v="1"/>
    <n v="60128"/>
    <n v="95365"/>
    <s v="."/>
    <n v="155493"/>
  </r>
  <r>
    <x v="5"/>
    <x v="0"/>
    <x v="1"/>
    <n v="7203"/>
    <n v="11354"/>
    <n v="93857"/>
    <n v="112414"/>
  </r>
  <r>
    <x v="5"/>
    <x v="0"/>
    <x v="1"/>
    <n v="13287"/>
    <n v="9911"/>
    <s v="."/>
    <n v="23198"/>
  </r>
  <r>
    <x v="5"/>
    <x v="0"/>
    <x v="1"/>
    <n v="15926"/>
    <n v="13900"/>
    <s v="."/>
    <n v="29826"/>
  </r>
  <r>
    <x v="5"/>
    <x v="0"/>
    <x v="1"/>
    <n v="21309"/>
    <n v="29362"/>
    <n v="201689"/>
    <n v="252360"/>
  </r>
  <r>
    <x v="5"/>
    <x v="0"/>
    <x v="1"/>
    <n v="11235"/>
    <n v="30351"/>
    <n v="94858"/>
    <n v="136444"/>
  </r>
  <r>
    <x v="6"/>
    <x v="0"/>
    <x v="1"/>
    <n v="74811"/>
    <n v="147975"/>
    <n v="349029"/>
    <n v="571815"/>
  </r>
  <r>
    <x v="6"/>
    <x v="0"/>
    <x v="1"/>
    <n v="30950"/>
    <n v="184259"/>
    <n v="1009612"/>
    <n v="1224821"/>
  </r>
  <r>
    <x v="6"/>
    <x v="0"/>
    <x v="1"/>
    <n v="23186"/>
    <n v="125811"/>
    <s v="."/>
    <n v="148997"/>
  </r>
  <r>
    <x v="6"/>
    <x v="0"/>
    <x v="1"/>
    <n v="22293"/>
    <n v="24990"/>
    <n v="212732"/>
    <n v="260015"/>
  </r>
  <r>
    <x v="6"/>
    <x v="0"/>
    <x v="1"/>
    <n v="7573"/>
    <n v="31585"/>
    <n v="92489"/>
    <n v="131647"/>
  </r>
  <r>
    <x v="6"/>
    <x v="0"/>
    <x v="1"/>
    <n v="6053"/>
    <n v="13407"/>
    <n v="95927"/>
    <n v="115387"/>
  </r>
  <r>
    <x v="7"/>
    <x v="0"/>
    <x v="1"/>
    <n v="57705"/>
    <n v="138112"/>
    <n v="45292"/>
    <n v="241109"/>
  </r>
  <r>
    <x v="7"/>
    <x v="0"/>
    <x v="1"/>
    <n v="6989"/>
    <n v="12614"/>
    <n v="96805"/>
    <n v="116408"/>
  </r>
  <r>
    <x v="7"/>
    <x v="0"/>
    <x v="1"/>
    <n v="56384"/>
    <n v="89372"/>
    <n v="485518"/>
    <n v="631274"/>
  </r>
  <r>
    <x v="7"/>
    <x v="0"/>
    <x v="1"/>
    <n v="23186"/>
    <n v="125811"/>
    <s v="."/>
    <n v="148997"/>
  </r>
  <r>
    <x v="7"/>
    <x v="0"/>
    <x v="1"/>
    <s v="."/>
    <n v="27434"/>
    <n v="450"/>
    <n v="27884"/>
  </r>
  <r>
    <x v="7"/>
    <x v="0"/>
    <x v="1"/>
    <n v="6272"/>
    <n v="28893"/>
    <n v="98422"/>
    <n v="133587"/>
  </r>
  <r>
    <x v="7"/>
    <x v="0"/>
    <x v="1"/>
    <n v="27413"/>
    <n v="198268"/>
    <n v="1002790"/>
    <n v="1228471"/>
  </r>
  <r>
    <x v="7"/>
    <x v="0"/>
    <x v="1"/>
    <n v="13485"/>
    <n v="18794"/>
    <n v="126359"/>
    <n v="158638"/>
  </r>
  <r>
    <x v="8"/>
    <x v="0"/>
    <x v="1"/>
    <n v="4073"/>
    <n v="18546"/>
    <n v="79710"/>
    <n v="102329"/>
  </r>
  <r>
    <x v="8"/>
    <x v="0"/>
    <x v="1"/>
    <n v="48782"/>
    <n v="108182"/>
    <n v="507034"/>
    <n v="663998"/>
  </r>
  <r>
    <x v="8"/>
    <x v="0"/>
    <x v="1"/>
    <n v="23186"/>
    <n v="125811"/>
    <s v="."/>
    <n v="148997"/>
  </r>
  <r>
    <x v="8"/>
    <x v="0"/>
    <x v="1"/>
    <n v="5114"/>
    <s v="."/>
    <n v="209391"/>
    <n v="214505"/>
  </r>
  <r>
    <x v="8"/>
    <x v="0"/>
    <x v="1"/>
    <n v="19563"/>
    <n v="31067"/>
    <n v="192027"/>
    <n v="242657"/>
  </r>
  <r>
    <x v="8"/>
    <x v="0"/>
    <x v="1"/>
    <n v="6305"/>
    <n v="29165"/>
    <n v="97113"/>
    <n v="132583"/>
  </r>
  <r>
    <x v="8"/>
    <x v="0"/>
    <x v="1"/>
    <n v="17680"/>
    <n v="218894"/>
    <n v="937849"/>
    <n v="1174423"/>
  </r>
  <r>
    <x v="0"/>
    <x v="1"/>
    <x v="2"/>
    <s v="."/>
    <s v="."/>
    <s v="."/>
    <n v="0"/>
  </r>
  <r>
    <x v="0"/>
    <x v="1"/>
    <x v="2"/>
    <s v="."/>
    <s v="."/>
    <s v="."/>
    <n v="0"/>
  </r>
  <r>
    <x v="0"/>
    <x v="1"/>
    <x v="2"/>
    <s v="."/>
    <s v="."/>
    <s v="."/>
    <n v="0"/>
  </r>
  <r>
    <x v="0"/>
    <x v="1"/>
    <x v="2"/>
    <s v="."/>
    <s v="."/>
    <s v="."/>
    <n v="0"/>
  </r>
  <r>
    <x v="1"/>
    <x v="1"/>
    <x v="2"/>
    <s v="."/>
    <s v="."/>
    <s v="."/>
    <n v="0"/>
  </r>
  <r>
    <x v="1"/>
    <x v="1"/>
    <x v="2"/>
    <s v="."/>
    <s v="."/>
    <s v="."/>
    <n v="0"/>
  </r>
  <r>
    <x v="1"/>
    <x v="1"/>
    <x v="2"/>
    <s v="."/>
    <s v="."/>
    <s v="."/>
    <n v="0"/>
  </r>
  <r>
    <x v="1"/>
    <x v="1"/>
    <x v="2"/>
    <s v="."/>
    <s v="."/>
    <s v="."/>
    <n v="0"/>
  </r>
  <r>
    <x v="1"/>
    <x v="1"/>
    <x v="2"/>
    <s v="."/>
    <s v="."/>
    <s v="."/>
    <n v="0"/>
  </r>
  <r>
    <x v="1"/>
    <x v="1"/>
    <x v="2"/>
    <s v="."/>
    <s v="."/>
    <s v="."/>
    <n v="0"/>
  </r>
  <r>
    <x v="2"/>
    <x v="1"/>
    <x v="2"/>
    <s v="."/>
    <s v="."/>
    <s v="."/>
    <n v="0"/>
  </r>
  <r>
    <x v="2"/>
    <x v="1"/>
    <x v="2"/>
    <s v="."/>
    <s v="."/>
    <s v="."/>
    <n v="0"/>
  </r>
  <r>
    <x v="2"/>
    <x v="1"/>
    <x v="2"/>
    <s v="."/>
    <s v="."/>
    <s v="."/>
    <n v="0"/>
  </r>
  <r>
    <x v="2"/>
    <x v="1"/>
    <x v="2"/>
    <s v="."/>
    <s v="."/>
    <s v="."/>
    <n v="0"/>
  </r>
  <r>
    <x v="2"/>
    <x v="1"/>
    <x v="2"/>
    <s v="."/>
    <s v="."/>
    <s v="."/>
    <n v="0"/>
  </r>
  <r>
    <x v="2"/>
    <x v="1"/>
    <x v="2"/>
    <s v="."/>
    <s v="."/>
    <s v="."/>
    <n v="0"/>
  </r>
  <r>
    <x v="2"/>
    <x v="1"/>
    <x v="2"/>
    <s v="."/>
    <s v="."/>
    <s v="."/>
    <n v="0"/>
  </r>
  <r>
    <x v="2"/>
    <x v="1"/>
    <x v="2"/>
    <s v="."/>
    <s v="."/>
    <s v="."/>
    <n v="0"/>
  </r>
  <r>
    <x v="2"/>
    <x v="1"/>
    <x v="2"/>
    <s v="."/>
    <s v="."/>
    <s v="."/>
    <n v="0"/>
  </r>
  <r>
    <x v="3"/>
    <x v="1"/>
    <x v="2"/>
    <s v="."/>
    <s v="."/>
    <s v="."/>
    <n v="0"/>
  </r>
  <r>
    <x v="3"/>
    <x v="1"/>
    <x v="2"/>
    <s v="."/>
    <s v="."/>
    <s v="."/>
    <n v="0"/>
  </r>
  <r>
    <x v="3"/>
    <x v="1"/>
    <x v="2"/>
    <s v="."/>
    <s v="."/>
    <s v="."/>
    <n v="0"/>
  </r>
  <r>
    <x v="3"/>
    <x v="1"/>
    <x v="2"/>
    <s v="."/>
    <s v="."/>
    <s v="."/>
    <n v="0"/>
  </r>
  <r>
    <x v="3"/>
    <x v="1"/>
    <x v="2"/>
    <s v="."/>
    <s v="."/>
    <s v="."/>
    <n v="0"/>
  </r>
  <r>
    <x v="3"/>
    <x v="1"/>
    <x v="2"/>
    <s v="."/>
    <s v="."/>
    <s v="."/>
    <n v="0"/>
  </r>
  <r>
    <x v="4"/>
    <x v="1"/>
    <x v="2"/>
    <s v="."/>
    <s v="."/>
    <s v="."/>
    <n v="0"/>
  </r>
  <r>
    <x v="4"/>
    <x v="1"/>
    <x v="2"/>
    <s v="."/>
    <s v="."/>
    <s v="."/>
    <n v="0"/>
  </r>
  <r>
    <x v="4"/>
    <x v="1"/>
    <x v="2"/>
    <s v="."/>
    <s v="."/>
    <s v="."/>
    <n v="0"/>
  </r>
  <r>
    <x v="4"/>
    <x v="1"/>
    <x v="2"/>
    <s v="."/>
    <s v="."/>
    <s v="."/>
    <n v="0"/>
  </r>
  <r>
    <x v="4"/>
    <x v="1"/>
    <x v="2"/>
    <s v="."/>
    <s v="."/>
    <s v="."/>
    <n v="0"/>
  </r>
  <r>
    <x v="4"/>
    <x v="1"/>
    <x v="2"/>
    <s v="."/>
    <s v="."/>
    <s v="."/>
    <n v="0"/>
  </r>
  <r>
    <x v="4"/>
    <x v="1"/>
    <x v="2"/>
    <s v="."/>
    <s v="."/>
    <s v="."/>
    <n v="0"/>
  </r>
  <r>
    <x v="5"/>
    <x v="1"/>
    <x v="2"/>
    <s v="."/>
    <s v="."/>
    <s v="."/>
    <n v="0"/>
  </r>
  <r>
    <x v="5"/>
    <x v="1"/>
    <x v="2"/>
    <s v="."/>
    <s v="."/>
    <s v="."/>
    <n v="0"/>
  </r>
  <r>
    <x v="5"/>
    <x v="1"/>
    <x v="2"/>
    <s v="."/>
    <s v="."/>
    <s v="."/>
    <n v="0"/>
  </r>
  <r>
    <x v="5"/>
    <x v="1"/>
    <x v="2"/>
    <s v="."/>
    <s v="."/>
    <s v="."/>
    <n v="0"/>
  </r>
  <r>
    <x v="5"/>
    <x v="1"/>
    <x v="2"/>
    <s v="."/>
    <s v="."/>
    <s v="."/>
    <n v="0"/>
  </r>
  <r>
    <x v="5"/>
    <x v="1"/>
    <x v="2"/>
    <s v="."/>
    <s v="."/>
    <s v="."/>
    <n v="0"/>
  </r>
  <r>
    <x v="5"/>
    <x v="1"/>
    <x v="2"/>
    <s v="."/>
    <s v="."/>
    <s v="."/>
    <n v="0"/>
  </r>
  <r>
    <x v="6"/>
    <x v="1"/>
    <x v="2"/>
    <s v="."/>
    <s v="."/>
    <s v="."/>
    <n v="0"/>
  </r>
  <r>
    <x v="6"/>
    <x v="1"/>
    <x v="2"/>
    <s v="."/>
    <s v="."/>
    <s v="."/>
    <n v="0"/>
  </r>
  <r>
    <x v="6"/>
    <x v="1"/>
    <x v="2"/>
    <s v="."/>
    <s v="."/>
    <s v="."/>
    <n v="0"/>
  </r>
  <r>
    <x v="0"/>
    <x v="1"/>
    <x v="3"/>
    <s v="."/>
    <s v="."/>
    <s v="."/>
    <n v="0"/>
  </r>
  <r>
    <x v="0"/>
    <x v="1"/>
    <x v="3"/>
    <s v="."/>
    <s v="."/>
    <s v="."/>
    <n v="0"/>
  </r>
  <r>
    <x v="0"/>
    <x v="1"/>
    <x v="3"/>
    <s v="."/>
    <s v="."/>
    <s v="."/>
    <n v="0"/>
  </r>
  <r>
    <x v="0"/>
    <x v="1"/>
    <x v="3"/>
    <s v="."/>
    <s v="."/>
    <s v="."/>
    <n v="0"/>
  </r>
  <r>
    <x v="0"/>
    <x v="1"/>
    <x v="3"/>
    <s v="."/>
    <s v="."/>
    <s v="."/>
    <n v="0"/>
  </r>
  <r>
    <x v="1"/>
    <x v="1"/>
    <x v="3"/>
    <s v="."/>
    <s v="."/>
    <s v="."/>
    <n v="0"/>
  </r>
  <r>
    <x v="1"/>
    <x v="1"/>
    <x v="3"/>
    <s v="."/>
    <s v="."/>
    <s v="."/>
    <n v="0"/>
  </r>
  <r>
    <x v="1"/>
    <x v="1"/>
    <x v="3"/>
    <s v="."/>
    <s v="."/>
    <s v="."/>
    <n v="0"/>
  </r>
  <r>
    <x v="1"/>
    <x v="1"/>
    <x v="3"/>
    <s v="."/>
    <s v="."/>
    <s v="."/>
    <n v="0"/>
  </r>
  <r>
    <x v="1"/>
    <x v="1"/>
    <x v="3"/>
    <s v="."/>
    <s v="."/>
    <s v="."/>
    <n v="0"/>
  </r>
  <r>
    <x v="1"/>
    <x v="1"/>
    <x v="3"/>
    <s v="."/>
    <s v="."/>
    <s v="."/>
    <n v="0"/>
  </r>
  <r>
    <x v="1"/>
    <x v="1"/>
    <x v="3"/>
    <s v="."/>
    <s v="."/>
    <s v="."/>
    <n v="0"/>
  </r>
  <r>
    <x v="2"/>
    <x v="1"/>
    <x v="3"/>
    <s v="."/>
    <s v="."/>
    <s v="."/>
    <n v="0"/>
  </r>
  <r>
    <x v="2"/>
    <x v="1"/>
    <x v="3"/>
    <s v="."/>
    <s v="."/>
    <s v="."/>
    <n v="0"/>
  </r>
  <r>
    <x v="2"/>
    <x v="1"/>
    <x v="3"/>
    <s v="."/>
    <s v="."/>
    <s v="."/>
    <n v="0"/>
  </r>
  <r>
    <x v="2"/>
    <x v="1"/>
    <x v="3"/>
    <s v="."/>
    <s v="."/>
    <s v="."/>
    <n v="0"/>
  </r>
  <r>
    <x v="2"/>
    <x v="1"/>
    <x v="3"/>
    <s v="."/>
    <s v="."/>
    <s v="."/>
    <n v="0"/>
  </r>
  <r>
    <x v="3"/>
    <x v="1"/>
    <x v="3"/>
    <s v="."/>
    <s v="."/>
    <s v="."/>
    <n v="0"/>
  </r>
  <r>
    <x v="3"/>
    <x v="1"/>
    <x v="3"/>
    <s v="."/>
    <s v="."/>
    <s v="."/>
    <n v="0"/>
  </r>
  <r>
    <x v="3"/>
    <x v="1"/>
    <x v="3"/>
    <s v="."/>
    <s v="."/>
    <s v="."/>
    <n v="0"/>
  </r>
  <r>
    <x v="3"/>
    <x v="1"/>
    <x v="3"/>
    <s v="."/>
    <s v="."/>
    <s v="."/>
    <n v="0"/>
  </r>
  <r>
    <x v="3"/>
    <x v="1"/>
    <x v="3"/>
    <s v="."/>
    <s v="."/>
    <s v="."/>
    <n v="0"/>
  </r>
  <r>
    <x v="3"/>
    <x v="1"/>
    <x v="3"/>
    <s v="."/>
    <s v="."/>
    <s v="."/>
    <n v="0"/>
  </r>
  <r>
    <x v="4"/>
    <x v="1"/>
    <x v="3"/>
    <s v="."/>
    <s v="."/>
    <s v="."/>
    <n v="0"/>
  </r>
  <r>
    <x v="4"/>
    <x v="1"/>
    <x v="3"/>
    <s v="."/>
    <s v="."/>
    <s v="."/>
    <n v="0"/>
  </r>
  <r>
    <x v="4"/>
    <x v="1"/>
    <x v="3"/>
    <s v="."/>
    <s v="."/>
    <s v="."/>
    <n v="0"/>
  </r>
  <r>
    <x v="4"/>
    <x v="1"/>
    <x v="3"/>
    <s v="."/>
    <s v="."/>
    <s v="."/>
    <n v="0"/>
  </r>
  <r>
    <x v="5"/>
    <x v="1"/>
    <x v="3"/>
    <s v="."/>
    <s v="."/>
    <s v="."/>
    <n v="0"/>
  </r>
  <r>
    <x v="5"/>
    <x v="1"/>
    <x v="3"/>
    <s v="."/>
    <s v="."/>
    <s v="."/>
    <n v="0"/>
  </r>
  <r>
    <x v="5"/>
    <x v="1"/>
    <x v="3"/>
    <s v="."/>
    <s v="."/>
    <s v="."/>
    <n v="0"/>
  </r>
  <r>
    <x v="5"/>
    <x v="1"/>
    <x v="3"/>
    <s v="."/>
    <s v="."/>
    <s v="."/>
    <n v="0"/>
  </r>
  <r>
    <x v="0"/>
    <x v="1"/>
    <x v="4"/>
    <s v="."/>
    <s v="."/>
    <s v="."/>
    <n v="0"/>
  </r>
  <r>
    <x v="0"/>
    <x v="1"/>
    <x v="5"/>
    <s v="."/>
    <s v="."/>
    <s v="."/>
    <n v="0"/>
  </r>
  <r>
    <x v="0"/>
    <x v="1"/>
    <x v="5"/>
    <s v="."/>
    <s v="."/>
    <s v="."/>
    <n v="0"/>
  </r>
  <r>
    <x v="0"/>
    <x v="1"/>
    <x v="5"/>
    <s v="."/>
    <s v="."/>
    <s v="."/>
    <n v="0"/>
  </r>
  <r>
    <x v="0"/>
    <x v="1"/>
    <x v="5"/>
    <s v="."/>
    <s v="."/>
    <s v="."/>
    <n v="0"/>
  </r>
  <r>
    <x v="0"/>
    <x v="1"/>
    <x v="5"/>
    <s v="."/>
    <s v="."/>
    <s v="."/>
    <n v="0"/>
  </r>
  <r>
    <x v="0"/>
    <x v="1"/>
    <x v="5"/>
    <s v="."/>
    <s v="."/>
    <s v="."/>
    <n v="0"/>
  </r>
  <r>
    <x v="0"/>
    <x v="1"/>
    <x v="5"/>
    <s v="."/>
    <s v="."/>
    <s v="."/>
    <n v="0"/>
  </r>
  <r>
    <x v="1"/>
    <x v="1"/>
    <x v="5"/>
    <s v="."/>
    <s v="."/>
    <s v="."/>
    <n v="0"/>
  </r>
  <r>
    <x v="1"/>
    <x v="1"/>
    <x v="5"/>
    <s v="."/>
    <s v="."/>
    <s v="."/>
    <n v="0"/>
  </r>
  <r>
    <x v="1"/>
    <x v="1"/>
    <x v="5"/>
    <s v="."/>
    <s v="."/>
    <s v="."/>
    <n v="0"/>
  </r>
  <r>
    <x v="2"/>
    <x v="1"/>
    <x v="5"/>
    <s v="."/>
    <s v="."/>
    <s v="."/>
    <n v="0"/>
  </r>
  <r>
    <x v="2"/>
    <x v="1"/>
    <x v="5"/>
    <s v="."/>
    <s v="."/>
    <s v="."/>
    <n v="0"/>
  </r>
  <r>
    <x v="2"/>
    <x v="1"/>
    <x v="5"/>
    <s v="."/>
    <s v="."/>
    <s v="."/>
    <n v="0"/>
  </r>
  <r>
    <x v="3"/>
    <x v="1"/>
    <x v="5"/>
    <s v="."/>
    <s v="."/>
    <s v="."/>
    <n v="0"/>
  </r>
  <r>
    <x v="3"/>
    <x v="1"/>
    <x v="5"/>
    <s v="."/>
    <s v="."/>
    <s v="."/>
    <n v="0"/>
  </r>
  <r>
    <x v="3"/>
    <x v="1"/>
    <x v="5"/>
    <s v="."/>
    <s v="."/>
    <s v="."/>
    <n v="0"/>
  </r>
  <r>
    <x v="4"/>
    <x v="1"/>
    <x v="5"/>
    <s v="."/>
    <s v="."/>
    <s v="."/>
    <n v="0"/>
  </r>
  <r>
    <x v="4"/>
    <x v="1"/>
    <x v="5"/>
    <s v="."/>
    <s v="."/>
    <s v="."/>
    <n v="0"/>
  </r>
  <r>
    <x v="4"/>
    <x v="1"/>
    <x v="5"/>
    <s v="."/>
    <s v="."/>
    <s v="."/>
    <n v="0"/>
  </r>
  <r>
    <x v="5"/>
    <x v="1"/>
    <x v="5"/>
    <s v="."/>
    <s v="."/>
    <s v="."/>
    <n v="0"/>
  </r>
  <r>
    <x v="5"/>
    <x v="1"/>
    <x v="5"/>
    <s v="."/>
    <s v="."/>
    <s v="."/>
    <n v="0"/>
  </r>
  <r>
    <x v="5"/>
    <x v="1"/>
    <x v="5"/>
    <s v="."/>
    <s v="."/>
    <s v="."/>
    <n v="0"/>
  </r>
  <r>
    <x v="5"/>
    <x v="1"/>
    <x v="5"/>
    <s v="."/>
    <s v="."/>
    <s v="."/>
    <n v="0"/>
  </r>
  <r>
    <x v="5"/>
    <x v="1"/>
    <x v="5"/>
    <s v="."/>
    <s v="."/>
    <s v="."/>
    <n v="0"/>
  </r>
  <r>
    <x v="5"/>
    <x v="1"/>
    <x v="5"/>
    <s v="."/>
    <s v="."/>
    <s v="."/>
    <n v="0"/>
  </r>
  <r>
    <x v="6"/>
    <x v="1"/>
    <x v="5"/>
    <s v="."/>
    <s v="."/>
    <s v="."/>
    <n v="0"/>
  </r>
  <r>
    <x v="6"/>
    <x v="1"/>
    <x v="5"/>
    <s v="."/>
    <s v="."/>
    <s v="."/>
    <n v="0"/>
  </r>
  <r>
    <x v="6"/>
    <x v="1"/>
    <x v="5"/>
    <s v="."/>
    <s v="."/>
    <s v="."/>
    <n v="0"/>
  </r>
  <r>
    <x v="6"/>
    <x v="1"/>
    <x v="5"/>
    <s v="."/>
    <s v="."/>
    <s v="."/>
    <n v="0"/>
  </r>
  <r>
    <x v="6"/>
    <x v="1"/>
    <x v="5"/>
    <s v="."/>
    <s v="."/>
    <s v="."/>
    <n v="0"/>
  </r>
  <r>
    <x v="6"/>
    <x v="1"/>
    <x v="5"/>
    <s v="."/>
    <s v="."/>
    <s v="."/>
    <n v="0"/>
  </r>
  <r>
    <x v="6"/>
    <x v="1"/>
    <x v="5"/>
    <s v="."/>
    <s v="."/>
    <s v="."/>
    <n v="0"/>
  </r>
  <r>
    <x v="7"/>
    <x v="1"/>
    <x v="5"/>
    <s v="."/>
    <s v="."/>
    <s v="."/>
    <n v="0"/>
  </r>
  <r>
    <x v="7"/>
    <x v="1"/>
    <x v="5"/>
    <s v="."/>
    <s v="."/>
    <s v="."/>
    <n v="0"/>
  </r>
  <r>
    <x v="7"/>
    <x v="1"/>
    <x v="5"/>
    <s v="."/>
    <s v="."/>
    <s v="."/>
    <n v="0"/>
  </r>
  <r>
    <x v="8"/>
    <x v="1"/>
    <x v="5"/>
    <s v="."/>
    <s v="."/>
    <s v="."/>
    <n v="0"/>
  </r>
  <r>
    <x v="2"/>
    <x v="1"/>
    <x v="6"/>
    <s v="."/>
    <s v="."/>
    <s v="."/>
    <n v="0"/>
  </r>
  <r>
    <x v="0"/>
    <x v="1"/>
    <x v="7"/>
    <s v="."/>
    <s v="."/>
    <s v="."/>
    <n v="0"/>
  </r>
  <r>
    <x v="1"/>
    <x v="1"/>
    <x v="7"/>
    <s v="."/>
    <s v="."/>
    <s v="."/>
    <n v="0"/>
  </r>
  <r>
    <x v="3"/>
    <x v="1"/>
    <x v="7"/>
    <s v="."/>
    <s v="."/>
    <s v="."/>
    <n v="0"/>
  </r>
  <r>
    <x v="0"/>
    <x v="1"/>
    <x v="8"/>
    <s v="."/>
    <s v="."/>
    <s v="."/>
    <n v="0"/>
  </r>
  <r>
    <x v="1"/>
    <x v="1"/>
    <x v="8"/>
    <s v="."/>
    <s v="."/>
    <s v="."/>
    <n v="0"/>
  </r>
  <r>
    <x v="3"/>
    <x v="1"/>
    <x v="8"/>
    <s v="."/>
    <s v="."/>
    <s v="."/>
    <n v="0"/>
  </r>
  <r>
    <x v="4"/>
    <x v="1"/>
    <x v="8"/>
    <s v="."/>
    <s v="."/>
    <s v="."/>
    <n v="0"/>
  </r>
  <r>
    <x v="6"/>
    <x v="1"/>
    <x v="8"/>
    <s v="."/>
    <s v="."/>
    <s v="."/>
    <n v="0"/>
  </r>
  <r>
    <x v="2"/>
    <x v="1"/>
    <x v="9"/>
    <s v="."/>
    <s v="."/>
    <s v="."/>
    <n v="0"/>
  </r>
  <r>
    <x v="3"/>
    <x v="1"/>
    <x v="9"/>
    <s v="."/>
    <s v="."/>
    <s v="."/>
    <n v="0"/>
  </r>
  <r>
    <x v="3"/>
    <x v="1"/>
    <x v="9"/>
    <s v="."/>
    <s v="."/>
    <s v="."/>
    <n v="0"/>
  </r>
  <r>
    <x v="4"/>
    <x v="1"/>
    <x v="9"/>
    <s v="."/>
    <s v="."/>
    <s v="."/>
    <n v="0"/>
  </r>
  <r>
    <x v="7"/>
    <x v="1"/>
    <x v="9"/>
    <s v="."/>
    <s v="."/>
    <s v="."/>
    <n v="0"/>
  </r>
  <r>
    <x v="7"/>
    <x v="1"/>
    <x v="9"/>
    <s v="."/>
    <s v="."/>
    <s v="."/>
    <n v="0"/>
  </r>
  <r>
    <x v="0"/>
    <x v="1"/>
    <x v="10"/>
    <s v="."/>
    <s v="."/>
    <s v="."/>
    <n v="0"/>
  </r>
  <r>
    <x v="1"/>
    <x v="1"/>
    <x v="10"/>
    <s v="."/>
    <s v="."/>
    <s v="."/>
    <n v="0"/>
  </r>
  <r>
    <x v="1"/>
    <x v="1"/>
    <x v="10"/>
    <s v="."/>
    <s v="."/>
    <s v="."/>
    <n v="0"/>
  </r>
  <r>
    <x v="2"/>
    <x v="1"/>
    <x v="10"/>
    <s v="."/>
    <s v="."/>
    <s v="."/>
    <n v="0"/>
  </r>
  <r>
    <x v="3"/>
    <x v="1"/>
    <x v="11"/>
    <s v="."/>
    <s v="."/>
    <s v="."/>
    <n v="0"/>
  </r>
  <r>
    <x v="4"/>
    <x v="1"/>
    <x v="11"/>
    <s v="."/>
    <s v="."/>
    <s v="."/>
    <n v="0"/>
  </r>
  <r>
    <x v="5"/>
    <x v="1"/>
    <x v="11"/>
    <s v="."/>
    <s v="."/>
    <s v="."/>
    <n v="0"/>
  </r>
  <r>
    <x v="6"/>
    <x v="1"/>
    <x v="11"/>
    <s v="."/>
    <s v="."/>
    <s v="."/>
    <n v="0"/>
  </r>
  <r>
    <x v="7"/>
    <x v="1"/>
    <x v="11"/>
    <s v="."/>
    <s v="."/>
    <s v="."/>
    <n v="0"/>
  </r>
  <r>
    <x v="1"/>
    <x v="1"/>
    <x v="0"/>
    <s v="."/>
    <s v="."/>
    <s v="."/>
    <n v="0"/>
  </r>
  <r>
    <x v="1"/>
    <x v="1"/>
    <x v="0"/>
    <s v="."/>
    <s v="."/>
    <s v="."/>
    <n v="0"/>
  </r>
  <r>
    <x v="2"/>
    <x v="1"/>
    <x v="0"/>
    <s v="."/>
    <s v="."/>
    <s v="."/>
    <n v="0"/>
  </r>
  <r>
    <x v="2"/>
    <x v="1"/>
    <x v="0"/>
    <s v="."/>
    <s v="."/>
    <s v="."/>
    <n v="0"/>
  </r>
  <r>
    <x v="2"/>
    <x v="1"/>
    <x v="0"/>
    <s v="."/>
    <s v="."/>
    <s v="."/>
    <n v="0"/>
  </r>
  <r>
    <x v="3"/>
    <x v="1"/>
    <x v="0"/>
    <s v="."/>
    <s v="."/>
    <s v="."/>
    <n v="0"/>
  </r>
  <r>
    <x v="4"/>
    <x v="1"/>
    <x v="0"/>
    <s v="."/>
    <s v="."/>
    <s v="."/>
    <n v="0"/>
  </r>
  <r>
    <x v="4"/>
    <x v="1"/>
    <x v="0"/>
    <s v="."/>
    <s v="."/>
    <s v="."/>
    <n v="0"/>
  </r>
  <r>
    <x v="4"/>
    <x v="1"/>
    <x v="0"/>
    <s v="."/>
    <s v="."/>
    <s v="."/>
    <n v="0"/>
  </r>
  <r>
    <x v="4"/>
    <x v="1"/>
    <x v="0"/>
    <s v="."/>
    <s v="."/>
    <s v="."/>
    <n v="0"/>
  </r>
  <r>
    <x v="5"/>
    <x v="1"/>
    <x v="0"/>
    <s v="."/>
    <s v="."/>
    <s v="."/>
    <n v="0"/>
  </r>
  <r>
    <x v="5"/>
    <x v="1"/>
    <x v="0"/>
    <s v="."/>
    <s v="."/>
    <s v="."/>
    <n v="0"/>
  </r>
  <r>
    <x v="5"/>
    <x v="1"/>
    <x v="0"/>
    <s v="."/>
    <s v="."/>
    <s v="."/>
    <n v="0"/>
  </r>
  <r>
    <x v="5"/>
    <x v="1"/>
    <x v="0"/>
    <s v="."/>
    <s v="."/>
    <s v="."/>
    <n v="0"/>
  </r>
  <r>
    <x v="6"/>
    <x v="1"/>
    <x v="0"/>
    <s v="."/>
    <s v="."/>
    <s v="."/>
    <n v="0"/>
  </r>
  <r>
    <x v="6"/>
    <x v="1"/>
    <x v="0"/>
    <s v="."/>
    <s v="."/>
    <s v="."/>
    <n v="0"/>
  </r>
  <r>
    <x v="6"/>
    <x v="1"/>
    <x v="0"/>
    <s v="."/>
    <s v="."/>
    <s v="."/>
    <n v="0"/>
  </r>
  <r>
    <x v="6"/>
    <x v="1"/>
    <x v="0"/>
    <s v="."/>
    <s v="."/>
    <s v="."/>
    <n v="0"/>
  </r>
  <r>
    <x v="6"/>
    <x v="1"/>
    <x v="0"/>
    <s v="."/>
    <s v="."/>
    <s v="."/>
    <n v="0"/>
  </r>
  <r>
    <x v="6"/>
    <x v="1"/>
    <x v="0"/>
    <s v="."/>
    <s v="."/>
    <s v="."/>
    <n v="0"/>
  </r>
  <r>
    <x v="6"/>
    <x v="1"/>
    <x v="0"/>
    <s v="."/>
    <s v="."/>
    <s v="."/>
    <n v="0"/>
  </r>
  <r>
    <x v="6"/>
    <x v="1"/>
    <x v="0"/>
    <n v="12050"/>
    <n v="6794"/>
    <n v="53582"/>
    <n v="72426"/>
  </r>
  <r>
    <x v="6"/>
    <x v="1"/>
    <x v="0"/>
    <s v="."/>
    <s v="."/>
    <s v="."/>
    <n v="0"/>
  </r>
  <r>
    <x v="7"/>
    <x v="1"/>
    <x v="0"/>
    <s v="."/>
    <s v="."/>
    <s v="."/>
    <n v="0"/>
  </r>
  <r>
    <x v="7"/>
    <x v="1"/>
    <x v="0"/>
    <s v="."/>
    <s v="."/>
    <s v="."/>
    <n v="0"/>
  </r>
  <r>
    <x v="7"/>
    <x v="1"/>
    <x v="0"/>
    <s v="."/>
    <s v="."/>
    <s v="."/>
    <n v="0"/>
  </r>
  <r>
    <x v="7"/>
    <x v="1"/>
    <x v="0"/>
    <s v="."/>
    <s v="."/>
    <s v="."/>
    <n v="0"/>
  </r>
  <r>
    <x v="7"/>
    <x v="1"/>
    <x v="0"/>
    <s v="."/>
    <s v="."/>
    <s v="."/>
    <n v="0"/>
  </r>
  <r>
    <x v="7"/>
    <x v="1"/>
    <x v="0"/>
    <s v="."/>
    <s v="."/>
    <s v="."/>
    <n v="0"/>
  </r>
  <r>
    <x v="7"/>
    <x v="1"/>
    <x v="0"/>
    <s v="."/>
    <s v="."/>
    <s v="."/>
    <n v="0"/>
  </r>
  <r>
    <x v="7"/>
    <x v="1"/>
    <x v="0"/>
    <s v="."/>
    <s v="."/>
    <s v="."/>
    <n v="0"/>
  </r>
  <r>
    <x v="7"/>
    <x v="1"/>
    <x v="0"/>
    <s v="."/>
    <s v="."/>
    <s v="."/>
    <n v="0"/>
  </r>
  <r>
    <x v="7"/>
    <x v="1"/>
    <x v="0"/>
    <s v="."/>
    <s v="."/>
    <s v="."/>
    <n v="0"/>
  </r>
  <r>
    <x v="7"/>
    <x v="1"/>
    <x v="0"/>
    <s v="."/>
    <s v="."/>
    <s v="."/>
    <n v="0"/>
  </r>
  <r>
    <x v="8"/>
    <x v="1"/>
    <x v="0"/>
    <s v="."/>
    <s v="."/>
    <s v="."/>
    <n v="0"/>
  </r>
  <r>
    <x v="8"/>
    <x v="1"/>
    <x v="0"/>
    <s v="."/>
    <s v="."/>
    <s v="."/>
    <n v="0"/>
  </r>
  <r>
    <x v="0"/>
    <x v="1"/>
    <x v="12"/>
    <s v="."/>
    <s v="."/>
    <s v="."/>
    <n v="0"/>
  </r>
  <r>
    <x v="1"/>
    <x v="1"/>
    <x v="13"/>
    <s v="."/>
    <s v="."/>
    <s v="."/>
    <n v="0"/>
  </r>
  <r>
    <x v="3"/>
    <x v="1"/>
    <x v="13"/>
    <s v="."/>
    <s v="."/>
    <s v="."/>
    <n v="0"/>
  </r>
  <r>
    <x v="4"/>
    <x v="1"/>
    <x v="13"/>
    <s v="."/>
    <s v="."/>
    <s v="."/>
    <n v="0"/>
  </r>
  <r>
    <x v="4"/>
    <x v="1"/>
    <x v="13"/>
    <s v="."/>
    <s v="."/>
    <s v="."/>
    <n v="0"/>
  </r>
  <r>
    <x v="5"/>
    <x v="1"/>
    <x v="13"/>
    <s v="."/>
    <s v="."/>
    <s v="."/>
    <n v="0"/>
  </r>
  <r>
    <x v="3"/>
    <x v="1"/>
    <x v="14"/>
    <s v="."/>
    <s v="."/>
    <s v="."/>
    <n v="0"/>
  </r>
  <r>
    <x v="4"/>
    <x v="1"/>
    <x v="14"/>
    <s v="."/>
    <s v="."/>
    <s v="."/>
    <n v="0"/>
  </r>
  <r>
    <x v="4"/>
    <x v="1"/>
    <x v="14"/>
    <s v="."/>
    <s v="."/>
    <s v="."/>
    <n v="0"/>
  </r>
  <r>
    <x v="5"/>
    <x v="1"/>
    <x v="14"/>
    <s v="."/>
    <s v="."/>
    <s v="."/>
    <n v="0"/>
  </r>
  <r>
    <x v="5"/>
    <x v="1"/>
    <x v="14"/>
    <s v="."/>
    <s v="."/>
    <s v="."/>
    <n v="0"/>
  </r>
  <r>
    <x v="6"/>
    <x v="1"/>
    <x v="14"/>
    <s v="."/>
    <s v="."/>
    <s v="."/>
    <n v="0"/>
  </r>
  <r>
    <x v="6"/>
    <x v="1"/>
    <x v="14"/>
    <s v="."/>
    <s v="."/>
    <s v="."/>
    <n v="0"/>
  </r>
  <r>
    <x v="7"/>
    <x v="1"/>
    <x v="14"/>
    <s v="."/>
    <s v="."/>
    <s v="."/>
    <n v="0"/>
  </r>
  <r>
    <x v="7"/>
    <x v="1"/>
    <x v="14"/>
    <s v="."/>
    <s v="."/>
    <s v="."/>
    <n v="0"/>
  </r>
  <r>
    <x v="0"/>
    <x v="1"/>
    <x v="15"/>
    <s v="."/>
    <s v="."/>
    <s v="."/>
    <n v="0"/>
  </r>
  <r>
    <x v="0"/>
    <x v="1"/>
    <x v="15"/>
    <s v="."/>
    <s v="."/>
    <s v="."/>
    <n v="0"/>
  </r>
  <r>
    <x v="1"/>
    <x v="1"/>
    <x v="15"/>
    <s v="."/>
    <s v="."/>
    <s v="."/>
    <n v="0"/>
  </r>
  <r>
    <x v="1"/>
    <x v="1"/>
    <x v="15"/>
    <s v="."/>
    <s v="."/>
    <s v="."/>
    <n v="0"/>
  </r>
  <r>
    <x v="1"/>
    <x v="1"/>
    <x v="15"/>
    <s v="."/>
    <s v="."/>
    <s v="."/>
    <n v="0"/>
  </r>
  <r>
    <x v="2"/>
    <x v="1"/>
    <x v="15"/>
    <s v="."/>
    <s v="."/>
    <s v="."/>
    <n v="0"/>
  </r>
  <r>
    <x v="2"/>
    <x v="1"/>
    <x v="15"/>
    <s v="."/>
    <s v="."/>
    <s v="."/>
    <n v="0"/>
  </r>
  <r>
    <x v="2"/>
    <x v="1"/>
    <x v="15"/>
    <s v="."/>
    <s v="."/>
    <s v="."/>
    <n v="0"/>
  </r>
  <r>
    <x v="3"/>
    <x v="1"/>
    <x v="15"/>
    <s v="."/>
    <s v="."/>
    <s v="."/>
    <n v="0"/>
  </r>
  <r>
    <x v="3"/>
    <x v="1"/>
    <x v="15"/>
    <s v="."/>
    <s v="."/>
    <s v="."/>
    <n v="0"/>
  </r>
  <r>
    <x v="3"/>
    <x v="1"/>
    <x v="15"/>
    <s v="."/>
    <s v="."/>
    <s v="."/>
    <n v="0"/>
  </r>
  <r>
    <x v="3"/>
    <x v="1"/>
    <x v="15"/>
    <s v="."/>
    <s v="."/>
    <s v="."/>
    <n v="0"/>
  </r>
  <r>
    <x v="4"/>
    <x v="1"/>
    <x v="15"/>
    <s v="."/>
    <s v="."/>
    <s v="."/>
    <n v="0"/>
  </r>
  <r>
    <x v="4"/>
    <x v="1"/>
    <x v="15"/>
    <s v="."/>
    <s v="."/>
    <s v="."/>
    <n v="0"/>
  </r>
  <r>
    <x v="4"/>
    <x v="1"/>
    <x v="15"/>
    <s v="."/>
    <s v="."/>
    <s v="."/>
    <n v="0"/>
  </r>
  <r>
    <x v="5"/>
    <x v="1"/>
    <x v="15"/>
    <s v="."/>
    <s v="."/>
    <s v="."/>
    <n v="0"/>
  </r>
  <r>
    <x v="5"/>
    <x v="1"/>
    <x v="15"/>
    <s v="."/>
    <s v="."/>
    <s v="."/>
    <n v="0"/>
  </r>
  <r>
    <x v="5"/>
    <x v="1"/>
    <x v="15"/>
    <s v="."/>
    <s v="."/>
    <s v="."/>
    <n v="0"/>
  </r>
  <r>
    <x v="6"/>
    <x v="1"/>
    <x v="15"/>
    <s v="."/>
    <s v="."/>
    <s v="."/>
    <n v="0"/>
  </r>
  <r>
    <x v="6"/>
    <x v="1"/>
    <x v="15"/>
    <s v="."/>
    <s v="."/>
    <s v="."/>
    <n v="0"/>
  </r>
  <r>
    <x v="6"/>
    <x v="1"/>
    <x v="15"/>
    <s v="."/>
    <s v="."/>
    <s v="."/>
    <n v="0"/>
  </r>
  <r>
    <x v="6"/>
    <x v="1"/>
    <x v="15"/>
    <s v="."/>
    <s v="."/>
    <s v="."/>
    <n v="0"/>
  </r>
  <r>
    <x v="7"/>
    <x v="1"/>
    <x v="15"/>
    <s v="."/>
    <s v="."/>
    <s v="."/>
    <n v="0"/>
  </r>
  <r>
    <x v="7"/>
    <x v="1"/>
    <x v="15"/>
    <s v="."/>
    <s v="."/>
    <s v="."/>
    <n v="0"/>
  </r>
  <r>
    <x v="7"/>
    <x v="1"/>
    <x v="15"/>
    <s v="."/>
    <s v="."/>
    <s v="."/>
    <n v="0"/>
  </r>
  <r>
    <x v="8"/>
    <x v="1"/>
    <x v="15"/>
    <s v="."/>
    <s v="."/>
    <s v="."/>
    <n v="0"/>
  </r>
  <r>
    <x v="4"/>
    <x v="1"/>
    <x v="16"/>
    <s v="."/>
    <s v="."/>
    <s v="."/>
    <n v="0"/>
  </r>
  <r>
    <x v="6"/>
    <x v="1"/>
    <x v="16"/>
    <s v="."/>
    <s v="."/>
    <s v="."/>
    <n v="0"/>
  </r>
  <r>
    <x v="7"/>
    <x v="1"/>
    <x v="16"/>
    <s v="."/>
    <s v="."/>
    <s v="."/>
    <n v="0"/>
  </r>
  <r>
    <x v="0"/>
    <x v="1"/>
    <x v="17"/>
    <s v="."/>
    <s v="."/>
    <s v="."/>
    <n v="0"/>
  </r>
  <r>
    <x v="1"/>
    <x v="1"/>
    <x v="17"/>
    <s v="."/>
    <s v="."/>
    <s v="."/>
    <n v="0"/>
  </r>
  <r>
    <x v="2"/>
    <x v="1"/>
    <x v="17"/>
    <s v="."/>
    <s v="."/>
    <s v="."/>
    <n v="0"/>
  </r>
  <r>
    <x v="3"/>
    <x v="1"/>
    <x v="17"/>
    <s v="."/>
    <s v="."/>
    <s v="."/>
    <n v="0"/>
  </r>
  <r>
    <x v="4"/>
    <x v="1"/>
    <x v="17"/>
    <s v="."/>
    <s v="."/>
    <s v="."/>
    <n v="0"/>
  </r>
  <r>
    <x v="5"/>
    <x v="1"/>
    <x v="17"/>
    <s v="."/>
    <s v="."/>
    <s v="."/>
    <n v="0"/>
  </r>
  <r>
    <x v="6"/>
    <x v="1"/>
    <x v="17"/>
    <s v="."/>
    <s v="."/>
    <s v="."/>
    <n v="0"/>
  </r>
  <r>
    <x v="6"/>
    <x v="1"/>
    <x v="17"/>
    <n v="12328"/>
    <n v="10988"/>
    <n v="108965"/>
    <n v="132281"/>
  </r>
  <r>
    <x v="6"/>
    <x v="1"/>
    <x v="17"/>
    <s v="."/>
    <s v="."/>
    <s v="."/>
    <n v="0"/>
  </r>
  <r>
    <x v="7"/>
    <x v="1"/>
    <x v="17"/>
    <n v="14949"/>
    <n v="18806"/>
    <n v="167733"/>
    <n v="201488"/>
  </r>
  <r>
    <x v="7"/>
    <x v="1"/>
    <x v="17"/>
    <s v="."/>
    <s v="."/>
    <s v="."/>
    <n v="0"/>
  </r>
  <r>
    <x v="8"/>
    <x v="1"/>
    <x v="17"/>
    <n v="14743"/>
    <n v="16045"/>
    <n v="151224"/>
    <n v="182012"/>
  </r>
  <r>
    <x v="0"/>
    <x v="1"/>
    <x v="1"/>
    <s v="."/>
    <s v="."/>
    <s v="."/>
    <n v="0"/>
  </r>
  <r>
    <x v="0"/>
    <x v="1"/>
    <x v="1"/>
    <s v="."/>
    <s v="."/>
    <s v="."/>
    <n v="0"/>
  </r>
  <r>
    <x v="2"/>
    <x v="1"/>
    <x v="1"/>
    <s v="."/>
    <s v="."/>
    <s v="."/>
    <n v="0"/>
  </r>
  <r>
    <x v="2"/>
    <x v="1"/>
    <x v="1"/>
    <s v="."/>
    <s v="."/>
    <s v="."/>
    <n v="0"/>
  </r>
  <r>
    <x v="2"/>
    <x v="1"/>
    <x v="1"/>
    <s v="."/>
    <s v="."/>
    <s v="."/>
    <n v="0"/>
  </r>
  <r>
    <x v="2"/>
    <x v="1"/>
    <x v="1"/>
    <s v="."/>
    <s v="."/>
    <s v="."/>
    <n v="0"/>
  </r>
  <r>
    <x v="3"/>
    <x v="1"/>
    <x v="1"/>
    <s v="."/>
    <s v="."/>
    <s v="."/>
    <n v="0"/>
  </r>
  <r>
    <x v="3"/>
    <x v="1"/>
    <x v="1"/>
    <s v="."/>
    <s v="."/>
    <s v="."/>
    <n v="0"/>
  </r>
  <r>
    <x v="3"/>
    <x v="1"/>
    <x v="1"/>
    <s v="."/>
    <s v="."/>
    <s v="."/>
    <n v="0"/>
  </r>
  <r>
    <x v="3"/>
    <x v="1"/>
    <x v="1"/>
    <s v="."/>
    <s v="."/>
    <s v="."/>
    <n v="0"/>
  </r>
  <r>
    <x v="3"/>
    <x v="1"/>
    <x v="1"/>
    <s v="."/>
    <s v="."/>
    <s v="."/>
    <n v="0"/>
  </r>
  <r>
    <x v="3"/>
    <x v="1"/>
    <x v="1"/>
    <s v="."/>
    <s v="."/>
    <s v="."/>
    <n v="0"/>
  </r>
  <r>
    <x v="3"/>
    <x v="1"/>
    <x v="1"/>
    <s v="."/>
    <s v="."/>
    <s v="."/>
    <n v="0"/>
  </r>
  <r>
    <x v="4"/>
    <x v="1"/>
    <x v="1"/>
    <s v="."/>
    <s v="."/>
    <s v="."/>
    <n v="0"/>
  </r>
  <r>
    <x v="4"/>
    <x v="1"/>
    <x v="1"/>
    <s v="."/>
    <s v="."/>
    <s v="."/>
    <n v="0"/>
  </r>
  <r>
    <x v="4"/>
    <x v="1"/>
    <x v="1"/>
    <s v="."/>
    <s v="."/>
    <s v="."/>
    <n v="0"/>
  </r>
  <r>
    <x v="4"/>
    <x v="1"/>
    <x v="1"/>
    <s v="."/>
    <s v="."/>
    <s v="."/>
    <n v="0"/>
  </r>
  <r>
    <x v="4"/>
    <x v="1"/>
    <x v="1"/>
    <s v="."/>
    <s v="."/>
    <s v="."/>
    <n v="0"/>
  </r>
  <r>
    <x v="4"/>
    <x v="1"/>
    <x v="1"/>
    <s v="."/>
    <s v="."/>
    <s v="."/>
    <n v="0"/>
  </r>
  <r>
    <x v="4"/>
    <x v="1"/>
    <x v="1"/>
    <s v="."/>
    <s v="."/>
    <s v="."/>
    <n v="0"/>
  </r>
  <r>
    <x v="5"/>
    <x v="1"/>
    <x v="1"/>
    <s v="."/>
    <s v="."/>
    <s v="."/>
    <n v="0"/>
  </r>
  <r>
    <x v="5"/>
    <x v="1"/>
    <x v="1"/>
    <s v="."/>
    <s v="."/>
    <s v="."/>
    <n v="0"/>
  </r>
  <r>
    <x v="5"/>
    <x v="1"/>
    <x v="1"/>
    <s v="."/>
    <s v="."/>
    <s v="."/>
    <n v="0"/>
  </r>
  <r>
    <x v="5"/>
    <x v="1"/>
    <x v="1"/>
    <s v="."/>
    <s v="."/>
    <s v="."/>
    <n v="0"/>
  </r>
  <r>
    <x v="5"/>
    <x v="1"/>
    <x v="1"/>
    <s v="."/>
    <s v="."/>
    <s v="."/>
    <n v="0"/>
  </r>
  <r>
    <x v="5"/>
    <x v="1"/>
    <x v="1"/>
    <s v="."/>
    <s v="."/>
    <s v="."/>
    <n v="0"/>
  </r>
  <r>
    <x v="5"/>
    <x v="1"/>
    <x v="1"/>
    <s v="."/>
    <s v="."/>
    <s v="."/>
    <n v="0"/>
  </r>
  <r>
    <x v="5"/>
    <x v="1"/>
    <x v="1"/>
    <s v="."/>
    <s v="."/>
    <s v="."/>
    <n v="0"/>
  </r>
  <r>
    <x v="6"/>
    <x v="1"/>
    <x v="1"/>
    <s v="."/>
    <s v="."/>
    <s v="."/>
    <n v="0"/>
  </r>
  <r>
    <x v="6"/>
    <x v="1"/>
    <x v="1"/>
    <s v="."/>
    <s v="."/>
    <s v="."/>
    <n v="0"/>
  </r>
  <r>
    <x v="6"/>
    <x v="1"/>
    <x v="1"/>
    <s v="."/>
    <s v="."/>
    <s v="."/>
    <n v="0"/>
  </r>
  <r>
    <x v="6"/>
    <x v="1"/>
    <x v="1"/>
    <s v="."/>
    <s v="."/>
    <s v="."/>
    <n v="0"/>
  </r>
  <r>
    <x v="6"/>
    <x v="1"/>
    <x v="1"/>
    <s v="."/>
    <s v="."/>
    <s v="."/>
    <n v="0"/>
  </r>
  <r>
    <x v="6"/>
    <x v="1"/>
    <x v="1"/>
    <s v="."/>
    <s v="."/>
    <s v="."/>
    <n v="0"/>
  </r>
  <r>
    <x v="6"/>
    <x v="1"/>
    <x v="1"/>
    <s v="."/>
    <s v="."/>
    <s v="."/>
    <n v="0"/>
  </r>
  <r>
    <x v="7"/>
    <x v="1"/>
    <x v="1"/>
    <s v="."/>
    <s v="."/>
    <s v="."/>
    <n v="0"/>
  </r>
  <r>
    <x v="7"/>
    <x v="1"/>
    <x v="1"/>
    <s v="."/>
    <s v="."/>
    <s v="."/>
    <n v="0"/>
  </r>
  <r>
    <x v="7"/>
    <x v="1"/>
    <x v="1"/>
    <s v="."/>
    <s v="."/>
    <s v="."/>
    <n v="0"/>
  </r>
  <r>
    <x v="7"/>
    <x v="1"/>
    <x v="1"/>
    <s v="."/>
    <s v="."/>
    <s v="."/>
    <n v="0"/>
  </r>
  <r>
    <x v="7"/>
    <x v="1"/>
    <x v="1"/>
    <s v="."/>
    <s v="."/>
    <s v="."/>
    <n v="0"/>
  </r>
  <r>
    <x v="7"/>
    <x v="1"/>
    <x v="1"/>
    <s v="."/>
    <s v="."/>
    <s v="."/>
    <n v="0"/>
  </r>
  <r>
    <x v="7"/>
    <x v="1"/>
    <x v="1"/>
    <s v="."/>
    <s v="."/>
    <s v="."/>
    <n v="0"/>
  </r>
  <r>
    <x v="7"/>
    <x v="1"/>
    <x v="1"/>
    <s v="."/>
    <s v="."/>
    <s v="."/>
    <n v="0"/>
  </r>
  <r>
    <x v="7"/>
    <x v="1"/>
    <x v="1"/>
    <s v="."/>
    <s v="."/>
    <s v="."/>
    <n v="0"/>
  </r>
  <r>
    <x v="7"/>
    <x v="1"/>
    <x v="1"/>
    <s v="."/>
    <s v="."/>
    <s v="."/>
    <n v="0"/>
  </r>
  <r>
    <x v="0"/>
    <x v="1"/>
    <x v="18"/>
    <s v="."/>
    <s v="."/>
    <s v="."/>
    <n v="0"/>
  </r>
  <r>
    <x v="1"/>
    <x v="1"/>
    <x v="18"/>
    <s v="."/>
    <s v="."/>
    <s v="."/>
    <n v="0"/>
  </r>
  <r>
    <x v="2"/>
    <x v="1"/>
    <x v="18"/>
    <s v="."/>
    <s v="."/>
    <s v="."/>
    <n v="0"/>
  </r>
  <r>
    <x v="3"/>
    <x v="1"/>
    <x v="18"/>
    <s v="."/>
    <s v="."/>
    <s v="."/>
    <n v="0"/>
  </r>
  <r>
    <x v="3"/>
    <x v="1"/>
    <x v="18"/>
    <s v="."/>
    <s v="."/>
    <s v="."/>
    <n v="0"/>
  </r>
  <r>
    <x v="0"/>
    <x v="1"/>
    <x v="19"/>
    <s v="."/>
    <s v="."/>
    <s v="."/>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n v="0.118644444444444"/>
  </r>
  <r>
    <x v="0"/>
    <x v="0"/>
    <x v="1"/>
    <n v="0.11211818181818201"/>
  </r>
  <r>
    <x v="0"/>
    <x v="0"/>
    <x v="2"/>
    <n v="0.10598"/>
  </r>
  <r>
    <x v="1"/>
    <x v="0"/>
    <x v="0"/>
    <n v="0.13171739130434801"/>
  </r>
  <r>
    <x v="1"/>
    <x v="0"/>
    <x v="1"/>
    <n v="0.124468"/>
  </r>
  <r>
    <x v="1"/>
    <x v="0"/>
    <x v="2"/>
    <n v="0.12661600000000001"/>
  </r>
  <r>
    <x v="0"/>
    <x v="1"/>
    <x v="0"/>
    <n v="0.13885555555555601"/>
  </r>
  <r>
    <x v="0"/>
    <x v="1"/>
    <x v="1"/>
    <n v="0.133841666666667"/>
  </r>
  <r>
    <x v="0"/>
    <x v="1"/>
    <x v="2"/>
    <n v="0.13468333333333299"/>
  </r>
  <r>
    <x v="1"/>
    <x v="1"/>
    <x v="0"/>
    <n v="0.13089545454545501"/>
  </r>
  <r>
    <x v="1"/>
    <x v="1"/>
    <x v="1"/>
    <n v="0.123569230769231"/>
  </r>
  <r>
    <x v="1"/>
    <x v="1"/>
    <x v="2"/>
    <n v="0.125112"/>
  </r>
  <r>
    <x v="0"/>
    <x v="2"/>
    <x v="0"/>
    <n v="0.14152000000000001"/>
  </r>
  <r>
    <x v="0"/>
    <x v="2"/>
    <x v="1"/>
    <n v="0.136584615384615"/>
  </r>
  <r>
    <x v="0"/>
    <x v="2"/>
    <x v="2"/>
    <n v="0.13871666666666699"/>
  </r>
  <r>
    <x v="1"/>
    <x v="2"/>
    <x v="0"/>
    <n v="0.12791538461538501"/>
  </r>
  <r>
    <x v="1"/>
    <x v="2"/>
    <x v="1"/>
    <n v="0.119989655172414"/>
  </r>
  <r>
    <x v="1"/>
    <x v="2"/>
    <x v="2"/>
    <n v="0.12063214285714299"/>
  </r>
  <r>
    <x v="0"/>
    <x v="3"/>
    <x v="0"/>
    <n v="0.14463000000000001"/>
  </r>
  <r>
    <x v="0"/>
    <x v="3"/>
    <x v="1"/>
    <n v="0.13909230769230799"/>
  </r>
  <r>
    <x v="0"/>
    <x v="3"/>
    <x v="2"/>
    <n v="0.141383333333333"/>
  </r>
  <r>
    <x v="1"/>
    <x v="3"/>
    <x v="0"/>
    <n v="0.12530303030303"/>
  </r>
  <r>
    <x v="1"/>
    <x v="3"/>
    <x v="1"/>
    <n v="0.11782121212121199"/>
  </r>
  <r>
    <x v="1"/>
    <x v="3"/>
    <x v="2"/>
    <n v="0.116891176470588"/>
  </r>
  <r>
    <x v="0"/>
    <x v="4"/>
    <x v="0"/>
    <n v="0.149458333333333"/>
  </r>
  <r>
    <x v="0"/>
    <x v="4"/>
    <x v="1"/>
    <n v="0.14242307692307701"/>
  </r>
  <r>
    <x v="0"/>
    <x v="4"/>
    <x v="2"/>
    <n v="0.14364285714285699"/>
  </r>
  <r>
    <x v="1"/>
    <x v="4"/>
    <x v="0"/>
    <n v="0.126386111111111"/>
  </r>
  <r>
    <x v="1"/>
    <x v="4"/>
    <x v="1"/>
    <n v="0.117308571428571"/>
  </r>
  <r>
    <x v="1"/>
    <x v="4"/>
    <x v="2"/>
    <n v="0.118363888888889"/>
  </r>
  <r>
    <x v="0"/>
    <x v="5"/>
    <x v="0"/>
    <n v="0.15129999999999999"/>
  </r>
  <r>
    <x v="0"/>
    <x v="5"/>
    <x v="1"/>
    <n v="0.14481538461538501"/>
  </r>
  <r>
    <x v="0"/>
    <x v="5"/>
    <x v="2"/>
    <n v="0.14695555555555601"/>
  </r>
  <r>
    <x v="1"/>
    <x v="5"/>
    <x v="0"/>
    <n v="0.12768888888888899"/>
  </r>
  <r>
    <x v="1"/>
    <x v="5"/>
    <x v="1"/>
    <n v="0.11818571428571401"/>
  </r>
  <r>
    <x v="1"/>
    <x v="5"/>
    <x v="2"/>
    <n v="0.119244444444444"/>
  </r>
  <r>
    <x v="0"/>
    <x v="6"/>
    <x v="0"/>
    <n v="0.13139166666666699"/>
  </r>
  <r>
    <x v="0"/>
    <x v="6"/>
    <x v="1"/>
    <n v="0.124015384615385"/>
  </r>
  <r>
    <x v="0"/>
    <x v="6"/>
    <x v="2"/>
    <n v="0.125822222222222"/>
  </r>
  <r>
    <x v="1"/>
    <x v="6"/>
    <x v="0"/>
    <n v="0.129731578947368"/>
  </r>
  <r>
    <x v="1"/>
    <x v="6"/>
    <x v="1"/>
    <n v="0.11847222222222201"/>
  </r>
  <r>
    <x v="1"/>
    <x v="6"/>
    <x v="2"/>
    <n v="0.11990000000000001"/>
  </r>
  <r>
    <x v="0"/>
    <x v="7"/>
    <x v="0"/>
    <n v="0.16200769230769199"/>
  </r>
  <r>
    <x v="0"/>
    <x v="7"/>
    <x v="1"/>
    <n v="0.15599285714285699"/>
  </r>
  <r>
    <x v="0"/>
    <x v="7"/>
    <x v="2"/>
    <n v="0.160481818181818"/>
  </r>
  <r>
    <x v="1"/>
    <x v="7"/>
    <x v="0"/>
    <n v="0.16094"/>
  </r>
  <r>
    <x v="1"/>
    <x v="7"/>
    <x v="1"/>
    <n v="0.15185588235294101"/>
  </r>
  <r>
    <x v="1"/>
    <x v="7"/>
    <x v="2"/>
    <n v="0.15309696969697001"/>
  </r>
  <r>
    <x v="0"/>
    <x v="8"/>
    <x v="0"/>
    <n v="0.14117692307692301"/>
  </r>
  <r>
    <x v="0"/>
    <x v="8"/>
    <x v="1"/>
    <n v="0.13538333333333299"/>
  </r>
  <r>
    <x v="0"/>
    <x v="8"/>
    <x v="2"/>
    <n v="0.142327272727273"/>
  </r>
  <r>
    <x v="1"/>
    <x v="8"/>
    <x v="0"/>
    <n v="0.14518"/>
  </r>
  <r>
    <x v="1"/>
    <x v="8"/>
    <x v="1"/>
    <n v="0.13638"/>
  </r>
  <r>
    <x v="1"/>
    <x v="8"/>
    <x v="2"/>
    <n v="0.140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n v="1.4247904329331155E-2"/>
  </r>
  <r>
    <x v="0"/>
    <x v="0"/>
    <x v="1"/>
    <n v="1.2225450354225937E-2"/>
  </r>
  <r>
    <x v="0"/>
    <x v="0"/>
    <x v="2"/>
    <n v="3.9474042103640698E-3"/>
  </r>
  <r>
    <x v="0"/>
    <x v="1"/>
    <x v="0"/>
    <n v="4.7487132760125382E-3"/>
  </r>
  <r>
    <x v="0"/>
    <x v="1"/>
    <x v="1"/>
    <n v="6.3571660829382596E-3"/>
  </r>
  <r>
    <x v="0"/>
    <x v="1"/>
    <x v="2"/>
    <n v="7.7852210416061197E-3"/>
  </r>
  <r>
    <x v="0"/>
    <x v="2"/>
    <x v="0"/>
    <n v="5.3426585142604737E-3"/>
  </r>
  <r>
    <x v="0"/>
    <x v="2"/>
    <x v="1"/>
    <n v="5.3744528642219501E-3"/>
  </r>
  <r>
    <x v="0"/>
    <x v="2"/>
    <x v="2"/>
    <n v="6.2191371320036602E-3"/>
  </r>
  <r>
    <x v="0"/>
    <x v="3"/>
    <x v="0"/>
    <n v="4.4284559636765253E-3"/>
  </r>
  <r>
    <x v="0"/>
    <x v="3"/>
    <x v="1"/>
    <n v="5.3320511279215197E-3"/>
  </r>
  <r>
    <x v="0"/>
    <x v="3"/>
    <x v="2"/>
    <n v="5.2113018207225999E-3"/>
  </r>
  <r>
    <x v="0"/>
    <x v="4"/>
    <x v="0"/>
    <n v="5.27195984488317E-3"/>
  </r>
  <r>
    <x v="0"/>
    <x v="4"/>
    <x v="1"/>
    <n v="7.0173776970881103E-3"/>
  </r>
  <r>
    <x v="0"/>
    <x v="4"/>
    <x v="2"/>
    <n v="6.3292593413071504E-3"/>
  </r>
  <r>
    <x v="0"/>
    <x v="5"/>
    <x v="0"/>
    <n v="4.9909008113857428E-3"/>
  </r>
  <r>
    <x v="0"/>
    <x v="5"/>
    <x v="1"/>
    <n v="6.1801896079120098E-3"/>
  </r>
  <r>
    <x v="0"/>
    <x v="5"/>
    <x v="2"/>
    <n v="4.25532346335478E-3"/>
  </r>
  <r>
    <x v="0"/>
    <x v="6"/>
    <x v="0"/>
    <n v="9.4499118161670368E-3"/>
  </r>
  <r>
    <x v="0"/>
    <x v="6"/>
    <x v="1"/>
    <n v="8.2835022941030404E-3"/>
  </r>
  <r>
    <x v="0"/>
    <x v="6"/>
    <x v="2"/>
    <n v="9.3292252864021E-3"/>
  </r>
  <r>
    <x v="0"/>
    <x v="7"/>
    <x v="0"/>
    <n v="4.0729722027166553E-3"/>
  </r>
  <r>
    <x v="0"/>
    <x v="7"/>
    <x v="1"/>
    <n v="6.1523559322005702E-3"/>
  </r>
  <r>
    <x v="0"/>
    <x v="7"/>
    <x v="2"/>
    <n v="4.8055838733328101E-3"/>
  </r>
  <r>
    <x v="0"/>
    <x v="8"/>
    <x v="0"/>
    <n v="4.5816943456458365E-3"/>
  </r>
  <r>
    <x v="0"/>
    <x v="8"/>
    <x v="1"/>
    <n v="5.8576807904173302E-3"/>
  </r>
  <r>
    <x v="0"/>
    <x v="8"/>
    <x v="2"/>
    <n v="6.5029363996722102E-3"/>
  </r>
  <r>
    <x v="1"/>
    <x v="0"/>
    <x v="0"/>
    <n v="1.4261220532170093E-2"/>
  </r>
  <r>
    <x v="1"/>
    <x v="0"/>
    <x v="1"/>
    <n v="1.6403651016364099E-2"/>
  </r>
  <r>
    <x v="1"/>
    <x v="0"/>
    <x v="2"/>
    <n v="1.6615045390649001E-2"/>
  </r>
  <r>
    <x v="1"/>
    <x v="1"/>
    <x v="0"/>
    <n v="1.3741888595258633E-2"/>
  </r>
  <r>
    <x v="1"/>
    <x v="1"/>
    <x v="1"/>
    <n v="1.46985922926182E-2"/>
  </r>
  <r>
    <x v="1"/>
    <x v="1"/>
    <x v="2"/>
    <n v="1.5301560922555101E-2"/>
  </r>
  <r>
    <x v="1"/>
    <x v="2"/>
    <x v="0"/>
    <n v="1.3218099479356015E-2"/>
  </r>
  <r>
    <x v="1"/>
    <x v="2"/>
    <x v="1"/>
    <n v="1.4522454161636901E-2"/>
  </r>
  <r>
    <x v="1"/>
    <x v="2"/>
    <x v="2"/>
    <n v="1.5755870242228801E-2"/>
  </r>
  <r>
    <x v="1"/>
    <x v="3"/>
    <x v="0"/>
    <n v="1.0986653404485965E-2"/>
  </r>
  <r>
    <x v="1"/>
    <x v="3"/>
    <x v="1"/>
    <n v="1.18064007421758E-2"/>
  </r>
  <r>
    <x v="1"/>
    <x v="3"/>
    <x v="2"/>
    <n v="1.27935676936324E-2"/>
  </r>
  <r>
    <x v="1"/>
    <x v="4"/>
    <x v="0"/>
    <n v="1.0260775598024543E-2"/>
  </r>
  <r>
    <x v="1"/>
    <x v="4"/>
    <x v="1"/>
    <n v="1.23510030892606E-2"/>
  </r>
  <r>
    <x v="1"/>
    <x v="4"/>
    <x v="2"/>
    <n v="1.2805069370655699E-2"/>
  </r>
  <r>
    <x v="1"/>
    <x v="5"/>
    <x v="0"/>
    <n v="1.1354490056556678E-2"/>
  </r>
  <r>
    <x v="1"/>
    <x v="5"/>
    <x v="1"/>
    <n v="1.28552150748964E-2"/>
  </r>
  <r>
    <x v="1"/>
    <x v="5"/>
    <x v="2"/>
    <n v="1.35999883286594E-2"/>
  </r>
  <r>
    <x v="1"/>
    <x v="6"/>
    <x v="0"/>
    <n v="7.5165800612993685E-3"/>
  </r>
  <r>
    <x v="1"/>
    <x v="6"/>
    <x v="1"/>
    <n v="6.5595126609532799E-3"/>
  </r>
  <r>
    <x v="1"/>
    <x v="6"/>
    <x v="2"/>
    <n v="7.7020560025662403E-3"/>
  </r>
  <r>
    <x v="1"/>
    <x v="7"/>
    <x v="0"/>
    <n v="7.9465937949020956E-3"/>
  </r>
  <r>
    <x v="1"/>
    <x v="7"/>
    <x v="1"/>
    <n v="9.5452412759470303E-3"/>
  </r>
  <r>
    <x v="1"/>
    <x v="7"/>
    <x v="2"/>
    <n v="9.9329780544559296E-3"/>
  </r>
  <r>
    <x v="1"/>
    <x v="8"/>
    <x v="0"/>
    <n v="6.5201226982319919E-3"/>
  </r>
  <r>
    <x v="1"/>
    <x v="8"/>
    <x v="1"/>
    <n v="7.1848451618667401E-3"/>
  </r>
  <r>
    <x v="1"/>
    <x v="8"/>
    <x v="2"/>
    <n v="9.9101967689849604E-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x v="0"/>
    <x v="0"/>
    <x v="0"/>
    <n v="0.118644444444444"/>
    <n v="1.4247904329331155E-2"/>
  </r>
  <r>
    <x v="0"/>
    <x v="0"/>
    <x v="1"/>
    <n v="0.11211818181818201"/>
    <n v="1.2225450354225937E-2"/>
  </r>
  <r>
    <x v="0"/>
    <x v="0"/>
    <x v="2"/>
    <n v="0.10598"/>
    <n v="3.9474042103640698E-3"/>
  </r>
  <r>
    <x v="1"/>
    <x v="0"/>
    <x v="0"/>
    <n v="0.13171739130434801"/>
    <n v="1.4261220532170093E-2"/>
  </r>
  <r>
    <x v="0"/>
    <x v="1"/>
    <x v="0"/>
    <n v="0.13885555555555601"/>
    <n v="4.7487132760125382E-3"/>
  </r>
  <r>
    <x v="1"/>
    <x v="0"/>
    <x v="1"/>
    <n v="0.124468"/>
    <n v="1.6403651016364099E-2"/>
  </r>
  <r>
    <x v="0"/>
    <x v="1"/>
    <x v="1"/>
    <n v="0.133841666666667"/>
    <n v="6.3571660829382596E-3"/>
  </r>
  <r>
    <x v="1"/>
    <x v="0"/>
    <x v="2"/>
    <n v="0.12661600000000001"/>
    <n v="1.6615045390649001E-2"/>
  </r>
  <r>
    <x v="0"/>
    <x v="1"/>
    <x v="2"/>
    <n v="0.13468333333333299"/>
    <n v="7.7852210416061197E-3"/>
  </r>
  <r>
    <x v="0"/>
    <x v="2"/>
    <x v="0"/>
    <n v="0.14152000000000001"/>
    <n v="5.3426585142604737E-3"/>
  </r>
  <r>
    <x v="0"/>
    <x v="2"/>
    <x v="1"/>
    <n v="0.136584615384615"/>
    <n v="5.3744528642219501E-3"/>
  </r>
  <r>
    <x v="0"/>
    <x v="2"/>
    <x v="2"/>
    <n v="0.13871666666666699"/>
    <n v="6.2191371320036602E-3"/>
  </r>
  <r>
    <x v="1"/>
    <x v="1"/>
    <x v="0"/>
    <n v="0.13089545454545501"/>
    <n v="1.3741888595258633E-2"/>
  </r>
  <r>
    <x v="0"/>
    <x v="3"/>
    <x v="0"/>
    <n v="0.14463000000000001"/>
    <n v="4.4284559636765253E-3"/>
  </r>
  <r>
    <x v="1"/>
    <x v="1"/>
    <x v="1"/>
    <n v="0.123569230769231"/>
    <n v="1.46985922926182E-2"/>
  </r>
  <r>
    <x v="0"/>
    <x v="3"/>
    <x v="1"/>
    <n v="0.13909230769230799"/>
    <n v="5.3320511279215197E-3"/>
  </r>
  <r>
    <x v="1"/>
    <x v="1"/>
    <x v="2"/>
    <n v="0.125112"/>
    <n v="1.5301560922555101E-2"/>
  </r>
  <r>
    <x v="0"/>
    <x v="3"/>
    <x v="2"/>
    <n v="0.141383333333333"/>
    <n v="5.2113018207225999E-3"/>
  </r>
  <r>
    <x v="0"/>
    <x v="4"/>
    <x v="0"/>
    <n v="0.149458333333333"/>
    <n v="5.27195984488317E-3"/>
  </r>
  <r>
    <x v="0"/>
    <x v="4"/>
    <x v="1"/>
    <n v="0.14242307692307701"/>
    <n v="7.0173776970881103E-3"/>
  </r>
  <r>
    <x v="0"/>
    <x v="4"/>
    <x v="2"/>
    <n v="0.14364285714285699"/>
    <n v="6.3292593413071504E-3"/>
  </r>
  <r>
    <x v="1"/>
    <x v="2"/>
    <x v="0"/>
    <n v="0.12791538461538501"/>
    <n v="1.3218099479356015E-2"/>
  </r>
  <r>
    <x v="0"/>
    <x v="5"/>
    <x v="0"/>
    <n v="0.15129999999999999"/>
    <n v="4.9909008113857428E-3"/>
  </r>
  <r>
    <x v="1"/>
    <x v="2"/>
    <x v="1"/>
    <n v="0.119989655172414"/>
    <n v="1.4522454161636901E-2"/>
  </r>
  <r>
    <x v="0"/>
    <x v="5"/>
    <x v="1"/>
    <n v="0.14481538461538501"/>
    <n v="6.1801896079120098E-3"/>
  </r>
  <r>
    <x v="1"/>
    <x v="2"/>
    <x v="2"/>
    <n v="0.12063214285714299"/>
    <n v="1.5755870242228801E-2"/>
  </r>
  <r>
    <x v="0"/>
    <x v="5"/>
    <x v="2"/>
    <n v="0.14695555555555601"/>
    <n v="4.25532346335478E-3"/>
  </r>
  <r>
    <x v="0"/>
    <x v="6"/>
    <x v="0"/>
    <n v="0.13139166666666699"/>
    <n v="9.4499118161670368E-3"/>
  </r>
  <r>
    <x v="0"/>
    <x v="6"/>
    <x v="1"/>
    <n v="0.124015384615385"/>
    <n v="8.2835022941030404E-3"/>
  </r>
  <r>
    <x v="0"/>
    <x v="6"/>
    <x v="2"/>
    <n v="0.125822222222222"/>
    <n v="9.3292252864021E-3"/>
  </r>
  <r>
    <x v="1"/>
    <x v="3"/>
    <x v="0"/>
    <n v="0.12530303030303"/>
    <n v="1.0986653404485965E-2"/>
  </r>
  <r>
    <x v="0"/>
    <x v="7"/>
    <x v="0"/>
    <n v="0.16200769230769199"/>
    <n v="4.0729722027166553E-3"/>
  </r>
  <r>
    <x v="1"/>
    <x v="3"/>
    <x v="1"/>
    <n v="0.11782121212121199"/>
    <n v="1.18064007421758E-2"/>
  </r>
  <r>
    <x v="0"/>
    <x v="7"/>
    <x v="1"/>
    <n v="0.15599285714285699"/>
    <n v="6.1523559322005702E-3"/>
  </r>
  <r>
    <x v="1"/>
    <x v="3"/>
    <x v="2"/>
    <n v="0.116891176470588"/>
    <n v="1.27935676936324E-2"/>
  </r>
  <r>
    <x v="0"/>
    <x v="7"/>
    <x v="2"/>
    <n v="0.160481818181818"/>
    <n v="4.8055838733328101E-3"/>
  </r>
  <r>
    <x v="0"/>
    <x v="8"/>
    <x v="0"/>
    <n v="0.14117692307692301"/>
    <n v="4.5816943456458365E-3"/>
  </r>
  <r>
    <x v="0"/>
    <x v="8"/>
    <x v="1"/>
    <n v="0.13538333333333299"/>
    <n v="5.8576807904173302E-3"/>
  </r>
  <r>
    <x v="0"/>
    <x v="8"/>
    <x v="2"/>
    <n v="0.142327272727273"/>
    <n v="6.5029363996722102E-3"/>
  </r>
  <r>
    <x v="1"/>
    <x v="4"/>
    <x v="0"/>
    <n v="0.126386111111111"/>
    <n v="1.0260775598024543E-2"/>
  </r>
  <r>
    <x v="1"/>
    <x v="4"/>
    <x v="1"/>
    <n v="0.117308571428571"/>
    <n v="1.23510030892606E-2"/>
  </r>
  <r>
    <x v="1"/>
    <x v="4"/>
    <x v="2"/>
    <n v="0.118363888888889"/>
    <n v="1.2805069370655699E-2"/>
  </r>
  <r>
    <x v="1"/>
    <x v="5"/>
    <x v="0"/>
    <n v="0.12768888888888899"/>
    <n v="1.1354490056556678E-2"/>
  </r>
  <r>
    <x v="1"/>
    <x v="5"/>
    <x v="1"/>
    <n v="0.11818571428571401"/>
    <n v="1.28552150748964E-2"/>
  </r>
  <r>
    <x v="1"/>
    <x v="5"/>
    <x v="2"/>
    <n v="0.119244444444444"/>
    <n v="1.35999883286594E-2"/>
  </r>
  <r>
    <x v="1"/>
    <x v="6"/>
    <x v="0"/>
    <n v="0.129731578947368"/>
    <n v="7.5165800612993685E-3"/>
  </r>
  <r>
    <x v="1"/>
    <x v="6"/>
    <x v="1"/>
    <n v="0.11847222222222201"/>
    <n v="6.5595126609532799E-3"/>
  </r>
  <r>
    <x v="1"/>
    <x v="6"/>
    <x v="2"/>
    <n v="0.11990000000000001"/>
    <n v="7.7020560025662403E-3"/>
  </r>
  <r>
    <x v="1"/>
    <x v="7"/>
    <x v="0"/>
    <n v="0.16094"/>
    <n v="7.9465937949020956E-3"/>
  </r>
  <r>
    <x v="1"/>
    <x v="7"/>
    <x v="1"/>
    <n v="0.15185588235294101"/>
    <n v="9.5452412759470303E-3"/>
  </r>
  <r>
    <x v="1"/>
    <x v="7"/>
    <x v="2"/>
    <n v="0.15309696969697001"/>
    <n v="9.9329780544559296E-3"/>
  </r>
  <r>
    <x v="1"/>
    <x v="8"/>
    <x v="0"/>
    <n v="0.14518"/>
    <n v="6.5201226982319919E-3"/>
  </r>
  <r>
    <x v="1"/>
    <x v="8"/>
    <x v="1"/>
    <n v="0.13638"/>
    <n v="7.1848451618667401E-3"/>
  </r>
  <r>
    <x v="1"/>
    <x v="8"/>
    <x v="2"/>
    <n v="0.14018"/>
    <n v="9.9101967689849604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K51:O63" firstHeaderRow="1" firstDataRow="3" firstDataCol="1"/>
  <pivotFields count="7">
    <pivotField axis="axisRow" showAll="0">
      <items count="10">
        <item x="0"/>
        <item x="1"/>
        <item x="2"/>
        <item x="3"/>
        <item x="4"/>
        <item x="5"/>
        <item x="6"/>
        <item x="7"/>
        <item x="8"/>
        <item t="default"/>
      </items>
    </pivotField>
    <pivotField axis="axisCol" showAll="0">
      <items count="3">
        <item h="1" x="1"/>
        <item x="0"/>
        <item t="default"/>
      </items>
    </pivotField>
    <pivotField axis="axisCol" showAll="0">
      <items count="21">
        <item x="2"/>
        <item x="3"/>
        <item x="4"/>
        <item x="5"/>
        <item x="6"/>
        <item x="7"/>
        <item x="8"/>
        <item x="9"/>
        <item x="10"/>
        <item x="11"/>
        <item x="0"/>
        <item x="12"/>
        <item x="13"/>
        <item x="14"/>
        <item x="15"/>
        <item x="16"/>
        <item x="17"/>
        <item x="1"/>
        <item x="18"/>
        <item x="19"/>
        <item t="default"/>
      </items>
    </pivotField>
    <pivotField showAll="0"/>
    <pivotField showAll="0"/>
    <pivotField showAll="0"/>
    <pivotField dataField="1" showAll="0"/>
  </pivotFields>
  <rowFields count="1">
    <field x="0"/>
  </rowFields>
  <rowItems count="10">
    <i>
      <x/>
    </i>
    <i>
      <x v="1"/>
    </i>
    <i>
      <x v="2"/>
    </i>
    <i>
      <x v="3"/>
    </i>
    <i>
      <x v="4"/>
    </i>
    <i>
      <x v="5"/>
    </i>
    <i>
      <x v="6"/>
    </i>
    <i>
      <x v="7"/>
    </i>
    <i>
      <x v="8"/>
    </i>
    <i t="grand">
      <x/>
    </i>
  </rowItems>
  <colFields count="2">
    <field x="1"/>
    <field x="2"/>
  </colFields>
  <colItems count="4">
    <i>
      <x v="1"/>
      <x v="10"/>
    </i>
    <i r="1">
      <x v="17"/>
    </i>
    <i t="default">
      <x v="1"/>
    </i>
    <i t="grand">
      <x/>
    </i>
  </colItems>
  <dataFields count="1">
    <dataField name="Sum of Total Quantity " fld="6"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I52:K69" firstHeaderRow="1" firstDataRow="1" firstDataCol="0"/>
  <pivotFields count="6">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FA531-920A-46BA-BF38-8DA6D7D2CC6C}"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Z44:BB54" firstHeaderRow="1" firstDataRow="2" firstDataCol="1" rowPageCount="1" colPageCount="1"/>
  <pivotFields count="4">
    <pivotField axis="axisCol" showAll="0">
      <items count="3">
        <item x="1"/>
        <item x="0"/>
        <item t="default"/>
      </items>
    </pivotField>
    <pivotField axis="axisRow" showAll="0">
      <items count="10">
        <item x="0"/>
        <item x="1"/>
        <item x="2"/>
        <item x="3"/>
        <item x="4"/>
        <item x="5"/>
        <item x="6"/>
        <item x="7"/>
        <item x="8"/>
        <item t="default"/>
      </items>
    </pivotField>
    <pivotField axis="axisPage" showAll="0">
      <items count="4">
        <item x="2"/>
        <item x="1"/>
        <item x="0"/>
        <item t="default"/>
      </items>
    </pivotField>
    <pivotField dataField="1" showAll="0"/>
  </pivotFields>
  <rowFields count="1">
    <field x="1"/>
  </rowFields>
  <rowItems count="9">
    <i>
      <x/>
    </i>
    <i>
      <x v="1"/>
    </i>
    <i>
      <x v="2"/>
    </i>
    <i>
      <x v="3"/>
    </i>
    <i>
      <x v="4"/>
    </i>
    <i>
      <x v="5"/>
    </i>
    <i>
      <x v="6"/>
    </i>
    <i>
      <x v="7"/>
    </i>
    <i>
      <x v="8"/>
    </i>
  </rowItems>
  <colFields count="1">
    <field x="0"/>
  </colFields>
  <colItems count="2">
    <i>
      <x/>
    </i>
    <i>
      <x v="1"/>
    </i>
  </colItems>
  <pageFields count="1">
    <pageField fld="2" item="2" hier="-1"/>
  </pageFields>
  <dataFields count="1">
    <dataField name="Sum of Standard Deviation" fld="3" baseField="1" baseItem="5"/>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868A9F-B562-407D-8903-BAB273C10B8F}"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Q44:AS54" firstHeaderRow="1" firstDataRow="2" firstDataCol="1" rowPageCount="1" colPageCount="1"/>
  <pivotFields count="4">
    <pivotField axis="axisCol" showAll="0" defaultSubtotal="0">
      <items count="2">
        <item x="1"/>
        <item x="0"/>
      </items>
    </pivotField>
    <pivotField axis="axisRow" showAll="0" defaultSubtotal="0">
      <items count="9">
        <item x="0"/>
        <item x="1"/>
        <item x="2"/>
        <item x="3"/>
        <item x="4"/>
        <item x="5"/>
        <item x="6"/>
        <item x="7"/>
        <item x="8"/>
      </items>
    </pivotField>
    <pivotField axis="axisPage" multipleItemSelectionAllowed="1" showAll="0" defaultSubtotal="0">
      <items count="3">
        <item h="1" x="2"/>
        <item x="1"/>
        <item h="1" x="0"/>
      </items>
    </pivotField>
    <pivotField dataField="1" showAll="0" defaultSubtotal="0"/>
  </pivotFields>
  <rowFields count="1">
    <field x="1"/>
  </rowFields>
  <rowItems count="9">
    <i>
      <x/>
    </i>
    <i>
      <x v="1"/>
    </i>
    <i>
      <x v="2"/>
    </i>
    <i>
      <x v="3"/>
    </i>
    <i>
      <x v="4"/>
    </i>
    <i>
      <x v="5"/>
    </i>
    <i>
      <x v="6"/>
    </i>
    <i>
      <x v="7"/>
    </i>
    <i>
      <x v="8"/>
    </i>
  </rowItems>
  <colFields count="1">
    <field x="0"/>
  </colFields>
  <colItems count="2">
    <i>
      <x/>
    </i>
    <i>
      <x v="1"/>
    </i>
  </colItems>
  <pageFields count="1">
    <pageField fld="2" hier="-1"/>
  </pageFields>
  <dataFields count="1">
    <dataField name="Average of Average price" fld="3" subtotal="average" baseField="1" baseItem="3" numFmtId="164"/>
  </dataFields>
  <formats count="1">
    <format dxfId="13">
      <pivotArea outline="0" collapsedLevelsAreSubtotals="1" fieldPosition="0"/>
    </format>
  </formats>
  <chartFormats count="8">
    <chartFormat chart="2" format="12" series="1">
      <pivotArea type="data" outline="0" fieldPosition="0">
        <references count="3">
          <reference field="4294967294" count="1" selected="0">
            <x v="0"/>
          </reference>
          <reference field="0" count="1" selected="0">
            <x v="0"/>
          </reference>
          <reference field="2" count="1" selected="0">
            <x v="0"/>
          </reference>
        </references>
      </pivotArea>
    </chartFormat>
    <chartFormat chart="2" format="13" series="1">
      <pivotArea type="data" outline="0" fieldPosition="0">
        <references count="3">
          <reference field="4294967294" count="1" selected="0">
            <x v="0"/>
          </reference>
          <reference field="0" count="1" selected="0">
            <x v="0"/>
          </reference>
          <reference field="2" count="1" selected="0">
            <x v="1"/>
          </reference>
        </references>
      </pivotArea>
    </chartFormat>
    <chartFormat chart="2" format="14" series="1">
      <pivotArea type="data" outline="0" fieldPosition="0">
        <references count="3">
          <reference field="4294967294" count="1" selected="0">
            <x v="0"/>
          </reference>
          <reference field="0" count="1" selected="0">
            <x v="0"/>
          </reference>
          <reference field="2" count="1" selected="0">
            <x v="2"/>
          </reference>
        </references>
      </pivotArea>
    </chartFormat>
    <chartFormat chart="2" format="15" series="1">
      <pivotArea type="data" outline="0" fieldPosition="0">
        <references count="3">
          <reference field="4294967294" count="1" selected="0">
            <x v="0"/>
          </reference>
          <reference field="0" count="1" selected="0">
            <x v="1"/>
          </reference>
          <reference field="2" count="1" selected="0">
            <x v="0"/>
          </reference>
        </references>
      </pivotArea>
    </chartFormat>
    <chartFormat chart="2" format="16" series="1">
      <pivotArea type="data" outline="0" fieldPosition="0">
        <references count="3">
          <reference field="4294967294" count="1" selected="0">
            <x v="0"/>
          </reference>
          <reference field="0" count="1" selected="0">
            <x v="1"/>
          </reference>
          <reference field="2" count="1" selected="0">
            <x v="1"/>
          </reference>
        </references>
      </pivotArea>
    </chartFormat>
    <chartFormat chart="2" format="17" series="1">
      <pivotArea type="data" outline="0" fieldPosition="0">
        <references count="3">
          <reference field="4294967294" count="1" selected="0">
            <x v="0"/>
          </reference>
          <reference field="0" count="1" selected="0">
            <x v="1"/>
          </reference>
          <reference field="2" count="1" selected="0">
            <x v="2"/>
          </reference>
        </references>
      </pivotArea>
    </chartFormat>
    <chartFormat chart="2" format="18" series="1">
      <pivotArea type="data" outline="0" fieldPosition="0">
        <references count="2">
          <reference field="4294967294" count="1" selected="0">
            <x v="0"/>
          </reference>
          <reference field="0" count="1" selected="0">
            <x v="1"/>
          </reference>
        </references>
      </pivotArea>
    </chartFormat>
    <chartFormat chart="2" format="19"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02B656-349D-44B5-B612-E59229C55E8C}"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BJ13:BL23" firstHeaderRow="1" firstDataRow="2" firstDataCol="1" rowPageCount="1" colPageCount="1"/>
  <pivotFields count="5">
    <pivotField axis="axisCol" showAll="0">
      <items count="3">
        <item x="1"/>
        <item x="0"/>
        <item t="default"/>
      </items>
    </pivotField>
    <pivotField axis="axisRow" showAll="0">
      <items count="10">
        <item x="0"/>
        <item x="1"/>
        <item x="2"/>
        <item x="3"/>
        <item x="4"/>
        <item x="5"/>
        <item x="6"/>
        <item x="7"/>
        <item x="8"/>
        <item t="default"/>
      </items>
    </pivotField>
    <pivotField axis="axisPage" multipleItemSelectionAllowed="1" showAll="0">
      <items count="4">
        <item h="1" x="2"/>
        <item h="1" x="1"/>
        <item x="0"/>
        <item t="default"/>
      </items>
    </pivotField>
    <pivotField showAll="0"/>
    <pivotField dataField="1" showAll="0"/>
  </pivotFields>
  <rowFields count="1">
    <field x="1"/>
  </rowFields>
  <rowItems count="9">
    <i>
      <x/>
    </i>
    <i>
      <x v="1"/>
    </i>
    <i>
      <x v="2"/>
    </i>
    <i>
      <x v="3"/>
    </i>
    <i>
      <x v="4"/>
    </i>
    <i>
      <x v="5"/>
    </i>
    <i>
      <x v="6"/>
    </i>
    <i>
      <x v="7"/>
    </i>
    <i>
      <x v="8"/>
    </i>
  </rowItems>
  <colFields count="1">
    <field x="0"/>
  </colFields>
  <colItems count="2">
    <i>
      <x/>
    </i>
    <i>
      <x v="1"/>
    </i>
  </colItems>
  <pageFields count="1">
    <pageField fld="2" hier="-1"/>
  </pageFields>
  <dataFields count="1">
    <dataField name="Sum of Standard Deviation" fld="4"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0D29AB-F93B-4632-B8B0-4F70F6045399}"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J44:BL54" firstHeaderRow="1" firstDataRow="2" firstDataCol="1" rowPageCount="1" colPageCount="1"/>
  <pivotFields count="5">
    <pivotField axis="axisCol" showAll="0">
      <items count="3">
        <item x="1"/>
        <item x="0"/>
        <item t="default"/>
      </items>
    </pivotField>
    <pivotField axis="axisRow" showAll="0">
      <items count="10">
        <item x="0"/>
        <item x="1"/>
        <item x="2"/>
        <item x="3"/>
        <item x="4"/>
        <item x="5"/>
        <item x="6"/>
        <item x="7"/>
        <item x="8"/>
        <item t="default"/>
      </items>
    </pivotField>
    <pivotField axis="axisPage" multipleItemSelectionAllowed="1" showAll="0">
      <items count="4">
        <item h="1" x="2"/>
        <item h="1" x="1"/>
        <item x="0"/>
        <item t="default"/>
      </items>
    </pivotField>
    <pivotField dataField="1" showAll="0"/>
    <pivotField showAll="0"/>
  </pivotFields>
  <rowFields count="1">
    <field x="1"/>
  </rowFields>
  <rowItems count="9">
    <i>
      <x/>
    </i>
    <i>
      <x v="1"/>
    </i>
    <i>
      <x v="2"/>
    </i>
    <i>
      <x v="3"/>
    </i>
    <i>
      <x v="4"/>
    </i>
    <i>
      <x v="5"/>
    </i>
    <i>
      <x v="6"/>
    </i>
    <i>
      <x v="7"/>
    </i>
    <i>
      <x v="8"/>
    </i>
  </rowItems>
  <colFields count="1">
    <field x="0"/>
  </colFields>
  <colItems count="2">
    <i>
      <x/>
    </i>
    <i>
      <x v="1"/>
    </i>
  </colItems>
  <pageFields count="1">
    <pageField fld="2" hier="-1"/>
  </pageFields>
  <dataFields count="1">
    <dataField name="Sum of Average winning price" fld="3"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3AD59D9E-4BEF-40AB-B9DC-C97C73FEB2D6}" autoFormatId="16" applyNumberFormats="0" applyBorderFormats="0" applyFontFormats="0" applyPatternFormats="0" applyAlignmentFormats="0" applyWidthHeightFormats="0">
  <queryTableRefresh nextId="6">
    <queryTableFields count="5">
      <queryTableField id="1" name="Market" tableColumnId="1"/>
      <queryTableField id="2" name="Year" tableColumnId="2"/>
      <queryTableField id="3" name="Products" tableColumnId="3"/>
      <queryTableField id="4" name="Average winning price" tableColumnId="4"/>
      <queryTableField id="5" name="Table5.Standard Deviat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9CFCE1D8-2133-4DD6-9D85-012D77FA2321}" autoFormatId="16" applyNumberFormats="0" applyBorderFormats="0" applyFontFormats="0" applyPatternFormats="0" applyAlignmentFormats="0" applyWidthHeightFormats="0">
  <queryTableRefresh nextId="5">
    <queryTableFields count="4">
      <queryTableField id="1" name="Market" tableColumnId="1"/>
      <queryTableField id="2" name="Year" tableColumnId="2"/>
      <queryTableField id="3" name="Products" tableColumnId="3"/>
      <queryTableField id="4" name="Standard Deviation"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E3540BF6-B5FD-40E1-8D99-E410F7C171C9}" autoFormatId="16" applyNumberFormats="0" applyBorderFormats="0" applyFontFormats="0" applyPatternFormats="0" applyAlignmentFormats="0" applyWidthHeightFormats="0">
  <queryTableRefresh nextId="6">
    <queryTableFields count="5">
      <queryTableField id="1" name="Market" tableColumnId="1"/>
      <queryTableField id="2" name="Year" tableColumnId="2"/>
      <queryTableField id="3" name="Products" tableColumnId="3"/>
      <queryTableField id="4" name="Average winning price" tableColumnId="4"/>
      <queryTableField id="5" name="Table5.Standard Deviat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68EC27F9-85DB-40CB-B508-D60436E277CE}" sourceName="Products">
  <pivotTables>
    <pivotTable tabId="5" name="PivotTable5"/>
    <pivotTable tabId="5" name="PivotTable4"/>
  </pivotTables>
  <data>
    <tabular pivotCacheId="1473351502">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CE64250F-6654-4849-9248-2757E00F5FE5}" cache="Slicer_Products" caption="Products" style="SlicerStyleDark3"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549887-03AF-4A32-ACB9-112F83BE718C}" name="Table_Average_winning_bid_prices" displayName="Table_Average_winning_bid_prices" ref="A1:E55" tableType="queryTable" totalsRowShown="0">
  <autoFilter ref="A1:E55" xr:uid="{F4549887-03AF-4A32-ACB9-112F83BE718C}"/>
  <tableColumns count="5">
    <tableColumn id="1" xr3:uid="{EAE0FEC3-1ACE-41C8-A205-EFD0A7C65A7D}" uniqueName="1" name="Market" queryTableFieldId="1" dataDxfId="15"/>
    <tableColumn id="2" xr3:uid="{0FED66B2-581A-4AFE-8463-E46798762638}" uniqueName="2" name="Year" queryTableFieldId="2"/>
    <tableColumn id="3" xr3:uid="{229A6B6A-4FD8-46A7-8A7D-41C3F3E94B52}" uniqueName="3" name="Products" queryTableFieldId="3" dataDxfId="14"/>
    <tableColumn id="4" xr3:uid="{70567400-26DF-4C5D-855A-24B5828B9CDA}" uniqueName="4" name="Average winning price" queryTableFieldId="4"/>
    <tableColumn id="5" xr3:uid="{4AFA001F-0070-436D-9430-BEF9F6772311}" uniqueName="5" name="Table5.Standard Deviation"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27EE34-DE0B-417F-A48D-11D815D17727}" name="Table1" displayName="Table1" ref="AE23:AI41" totalsRowShown="0">
  <autoFilter ref="AE23:AI41" xr:uid="{E827EE34-DE0B-417F-A48D-11D815D17727}"/>
  <tableColumns count="5">
    <tableColumn id="1" xr3:uid="{CD4AFF26-9FB3-429A-8AA0-B791C3BB50A7}" name="Market"/>
    <tableColumn id="2" xr3:uid="{17CCC00A-D9FE-42B4-821C-9F7F86F2F905}" name="Year"/>
    <tableColumn id="3" xr3:uid="{613ECF83-4CFA-43B2-8CEE-69BB9BF9A1CE}" name="WWBID" dataDxfId="12"/>
    <tableColumn id="4" xr3:uid="{8277395A-3DBB-4D85-99F5-2C693C463D6F}" name="LFWBID" dataDxfId="11"/>
    <tableColumn id="5" xr3:uid="{728A781F-6FCB-43A9-A4A5-BF341228F8DE}" name="LFCBID"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3D566A-92FF-4291-A2BF-6B112D88F77C}" name="Table_Table14" displayName="Table_Table14" ref="AK1:AN55" totalsRowShown="0">
  <autoFilter ref="AK1:AN55" xr:uid="{953D566A-92FF-4291-A2BF-6B112D88F77C}"/>
  <tableColumns count="4">
    <tableColumn id="1" xr3:uid="{423C3647-217B-4BAD-96CA-7F3C7691C63A}" name="Market" dataDxfId="9"/>
    <tableColumn id="2" xr3:uid="{712FABB4-BF65-4EFE-B505-B7B80B7AC91C}" name="Year"/>
    <tableColumn id="3" xr3:uid="{B19255EF-48AB-4010-B9CF-7A419F044708}" name="Products" dataDxfId="8"/>
    <tableColumn id="4" xr3:uid="{7BD9B39C-21D7-4DA5-A12C-563B795780E0}" name="Average pric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DBDE56-F546-4DDC-8491-8ECA723CCF30}" name="Table5" displayName="Table5" ref="AE47:AI65" totalsRowShown="0">
  <autoFilter ref="AE47:AI65" xr:uid="{43DBDE56-F546-4DDC-8491-8ECA723CCF30}"/>
  <tableColumns count="5">
    <tableColumn id="1" xr3:uid="{B81B944D-868F-4D72-81C4-027292DB766F}" name="Market" dataDxfId="7"/>
    <tableColumn id="2" xr3:uid="{7AF3B350-F51F-4304-9BE3-623BB2F54BA7}" name="Year"/>
    <tableColumn id="3" xr3:uid="{6F863813-98B7-4A0D-95F7-915F1BFABD02}" name="WWBID" dataDxfId="6"/>
    <tableColumn id="4" xr3:uid="{556D5976-4BDE-4D7A-BD0E-FD5CDD36064C}" name="LFWBID" dataDxfId="5"/>
    <tableColumn id="5" xr3:uid="{286DF884-F0D1-400C-83F6-43E914F5AC3B}" name="LFCBID" dataDxfId="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DB6BA0-5D61-41C2-9567-C482985FFA22}" name="Table_Table58" displayName="Table_Table58" ref="AU1:AX55" tableType="queryTable" totalsRowShown="0">
  <autoFilter ref="AU1:AX55" xr:uid="{B2DB6BA0-5D61-41C2-9567-C482985FFA22}"/>
  <tableColumns count="4">
    <tableColumn id="1" xr3:uid="{13FCE82D-365A-4B84-A202-EBE1EF7F8A92}" uniqueName="1" name="Market" queryTableFieldId="1" dataDxfId="3"/>
    <tableColumn id="2" xr3:uid="{33F223AE-104A-4959-8CA2-E05210A2E90F}" uniqueName="2" name="Year" queryTableFieldId="2"/>
    <tableColumn id="3" xr3:uid="{7AD8220F-7AD9-4BD0-9C0D-EC4EB5AB0169}" uniqueName="3" name="Products" queryTableFieldId="3" dataDxfId="2"/>
    <tableColumn id="4" xr3:uid="{1487BEAA-480E-470A-AC3D-CF1C30A180DB}" uniqueName="4" name="Standard Deviation"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FBD9528-C687-4133-A67A-6F83675B565E}" name="Table_Average_winning_bid_prices10" displayName="Table_Average_winning_bid_prices10" ref="BD1:BH55" tableType="queryTable" totalsRowShown="0">
  <autoFilter ref="BD1:BH55" xr:uid="{7FBD9528-C687-4133-A67A-6F83675B565E}"/>
  <tableColumns count="5">
    <tableColumn id="1" xr3:uid="{2F52F531-C83A-4ED8-8AEC-50F9FC586AF5}" uniqueName="1" name="Market" queryTableFieldId="1" dataDxfId="1"/>
    <tableColumn id="2" xr3:uid="{8CE33DF1-DA70-4C9D-A73C-25964F2884CC}" uniqueName="2" name="Year" queryTableFieldId="2"/>
    <tableColumn id="3" xr3:uid="{D865CEAF-C577-44FC-9E99-2F9F4EAA18C2}" uniqueName="3" name="Products" queryTableFieldId="3" dataDxfId="0"/>
    <tableColumn id="4" xr3:uid="{9AE8EEAE-677E-4572-B2A8-79DF3F41D768}" uniqueName="4" name="Average winning price" queryTableFieldId="4"/>
    <tableColumn id="5" xr3:uid="{12CB5C99-E2A2-4CDB-9D58-77996A8CF9E3}" uniqueName="5" name="Standard Deviation"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ivotTable" Target="../pivotTables/pivotTable2.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5.xml"/><Relationship Id="rId7" Type="http://schemas.openxmlformats.org/officeDocument/2006/relationships/table" Target="../tables/table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2.xml"/><Relationship Id="rId5" Type="http://schemas.openxmlformats.org/officeDocument/2006/relationships/drawing" Target="../drawings/drawing4.xml"/><Relationship Id="rId10" Type="http://schemas.openxmlformats.org/officeDocument/2006/relationships/table" Target="../tables/table6.xml"/><Relationship Id="rId4" Type="http://schemas.openxmlformats.org/officeDocument/2006/relationships/pivotTable" Target="../pivotTables/pivotTable6.xm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3"/>
  <sheetViews>
    <sheetView workbookViewId="0">
      <selection activeCell="N12" sqref="N12"/>
    </sheetView>
  </sheetViews>
  <sheetFormatPr defaultColWidth="9" defaultRowHeight="12.75"/>
  <cols>
    <col min="2" max="2" width="14.42578125" customWidth="1"/>
    <col min="3" max="3" width="13.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1983</v>
      </c>
      <c r="B2" t="s">
        <v>14</v>
      </c>
      <c r="C2" t="s">
        <v>15</v>
      </c>
      <c r="D2" s="2">
        <v>0.126</v>
      </c>
      <c r="E2">
        <v>76055</v>
      </c>
      <c r="F2">
        <v>0.126</v>
      </c>
      <c r="G2">
        <v>81645</v>
      </c>
      <c r="H2" t="s">
        <v>16</v>
      </c>
      <c r="I2" t="s">
        <v>16</v>
      </c>
      <c r="J2">
        <v>91</v>
      </c>
      <c r="K2">
        <v>7.6399999999999996E-2</v>
      </c>
      <c r="L2">
        <v>14</v>
      </c>
      <c r="M2">
        <v>11</v>
      </c>
      <c r="N2" t="s">
        <v>17</v>
      </c>
    </row>
    <row r="3" spans="1:14">
      <c r="A3">
        <v>1983</v>
      </c>
      <c r="B3" t="s">
        <v>14</v>
      </c>
      <c r="C3" t="s">
        <v>18</v>
      </c>
      <c r="D3" s="2">
        <v>0.14949999999999999</v>
      </c>
      <c r="E3">
        <v>626</v>
      </c>
      <c r="F3">
        <v>0.13950000000000001</v>
      </c>
      <c r="G3">
        <v>30702</v>
      </c>
      <c r="H3" t="s">
        <v>16</v>
      </c>
      <c r="I3" t="s">
        <v>16</v>
      </c>
      <c r="J3">
        <v>452</v>
      </c>
      <c r="K3">
        <v>7.6399999999999996E-2</v>
      </c>
      <c r="L3">
        <v>4</v>
      </c>
      <c r="M3">
        <v>0</v>
      </c>
      <c r="N3" t="s">
        <v>19</v>
      </c>
    </row>
    <row r="4" spans="1:14">
      <c r="A4">
        <v>1983</v>
      </c>
      <c r="B4" t="s">
        <v>20</v>
      </c>
      <c r="C4" t="s">
        <v>21</v>
      </c>
      <c r="D4" s="2">
        <v>0.14000000000000001</v>
      </c>
      <c r="E4" t="s">
        <v>16</v>
      </c>
      <c r="F4">
        <v>0.13500000000000001</v>
      </c>
      <c r="G4" t="s">
        <v>16</v>
      </c>
      <c r="H4">
        <v>0.14299999999999999</v>
      </c>
      <c r="I4" t="s">
        <v>16</v>
      </c>
      <c r="J4">
        <v>101</v>
      </c>
      <c r="K4">
        <v>7.6399999999999996E-2</v>
      </c>
      <c r="L4">
        <v>50</v>
      </c>
      <c r="M4">
        <v>47</v>
      </c>
      <c r="N4" t="s">
        <v>22</v>
      </c>
    </row>
    <row r="5" spans="1:14">
      <c r="A5">
        <v>1983</v>
      </c>
      <c r="B5" t="s">
        <v>14</v>
      </c>
      <c r="C5" t="s">
        <v>18</v>
      </c>
      <c r="D5" s="2">
        <v>0.1193</v>
      </c>
      <c r="E5">
        <v>9026</v>
      </c>
      <c r="F5">
        <v>0.1113</v>
      </c>
      <c r="G5">
        <v>8987</v>
      </c>
      <c r="H5" t="s">
        <v>16</v>
      </c>
      <c r="I5" t="s">
        <v>16</v>
      </c>
      <c r="J5">
        <v>32</v>
      </c>
      <c r="K5">
        <v>7.6399999999999996E-2</v>
      </c>
      <c r="L5">
        <v>4</v>
      </c>
      <c r="M5">
        <v>2</v>
      </c>
      <c r="N5" t="s">
        <v>23</v>
      </c>
    </row>
    <row r="6" spans="1:14">
      <c r="A6">
        <v>1983</v>
      </c>
      <c r="B6" t="s">
        <v>14</v>
      </c>
      <c r="C6" t="s">
        <v>15</v>
      </c>
      <c r="D6" s="2">
        <v>0.1094</v>
      </c>
      <c r="E6">
        <v>51404</v>
      </c>
      <c r="F6">
        <v>0.1094</v>
      </c>
      <c r="G6">
        <v>292086</v>
      </c>
      <c r="H6">
        <v>0.1094</v>
      </c>
      <c r="I6">
        <v>429493</v>
      </c>
      <c r="J6">
        <v>134</v>
      </c>
      <c r="K6">
        <v>7.6399999999999996E-2</v>
      </c>
      <c r="L6">
        <v>3</v>
      </c>
      <c r="M6">
        <v>1</v>
      </c>
      <c r="N6" t="s">
        <v>24</v>
      </c>
    </row>
    <row r="7" spans="1:14">
      <c r="A7">
        <v>1983</v>
      </c>
      <c r="B7" t="s">
        <v>20</v>
      </c>
      <c r="C7" t="s">
        <v>25</v>
      </c>
      <c r="D7" s="2">
        <v>0.12</v>
      </c>
      <c r="E7" t="s">
        <v>16</v>
      </c>
      <c r="F7" t="s">
        <v>16</v>
      </c>
      <c r="G7" t="s">
        <v>16</v>
      </c>
      <c r="H7" t="s">
        <v>16</v>
      </c>
      <c r="I7" t="s">
        <v>16</v>
      </c>
      <c r="J7">
        <v>13</v>
      </c>
      <c r="K7">
        <v>7.6399999999999996E-2</v>
      </c>
      <c r="L7">
        <v>36</v>
      </c>
      <c r="M7">
        <v>34</v>
      </c>
      <c r="N7" t="s">
        <v>26</v>
      </c>
    </row>
    <row r="8" spans="1:14">
      <c r="A8">
        <v>1983</v>
      </c>
      <c r="B8" t="s">
        <v>20</v>
      </c>
      <c r="C8" t="s">
        <v>25</v>
      </c>
      <c r="D8" s="2">
        <v>0.12</v>
      </c>
      <c r="E8" t="s">
        <v>16</v>
      </c>
      <c r="F8">
        <v>0.11</v>
      </c>
      <c r="G8" t="s">
        <v>16</v>
      </c>
      <c r="H8">
        <v>0.11</v>
      </c>
      <c r="I8" t="s">
        <v>16</v>
      </c>
      <c r="J8">
        <v>171</v>
      </c>
      <c r="K8">
        <v>7.6399999999999996E-2</v>
      </c>
      <c r="L8">
        <v>64</v>
      </c>
      <c r="M8">
        <v>62</v>
      </c>
      <c r="N8" t="s">
        <v>27</v>
      </c>
    </row>
    <row r="9" spans="1:14">
      <c r="A9">
        <v>1983</v>
      </c>
      <c r="B9" t="s">
        <v>20</v>
      </c>
      <c r="C9" t="s">
        <v>28</v>
      </c>
      <c r="D9" s="2">
        <v>0.12</v>
      </c>
      <c r="E9" t="s">
        <v>16</v>
      </c>
      <c r="F9">
        <v>0.11899999999999999</v>
      </c>
      <c r="G9" t="s">
        <v>16</v>
      </c>
      <c r="H9">
        <v>0.11899999999999999</v>
      </c>
      <c r="I9" t="s">
        <v>16</v>
      </c>
      <c r="J9">
        <v>593</v>
      </c>
      <c r="K9">
        <v>7.6399999999999996E-2</v>
      </c>
      <c r="L9">
        <v>36</v>
      </c>
      <c r="M9">
        <v>32</v>
      </c>
      <c r="N9" t="s">
        <v>29</v>
      </c>
    </row>
    <row r="10" spans="1:14">
      <c r="A10">
        <v>1983</v>
      </c>
      <c r="B10" t="s">
        <v>20</v>
      </c>
      <c r="C10" t="s">
        <v>18</v>
      </c>
      <c r="D10" s="2" t="s">
        <v>16</v>
      </c>
      <c r="E10" t="s">
        <v>16</v>
      </c>
      <c r="F10">
        <v>0.1143</v>
      </c>
      <c r="G10" t="s">
        <v>16</v>
      </c>
      <c r="H10">
        <v>0.1143</v>
      </c>
      <c r="I10" t="s">
        <v>16</v>
      </c>
      <c r="J10">
        <v>241</v>
      </c>
      <c r="K10">
        <v>7.6399999999999996E-2</v>
      </c>
      <c r="L10">
        <v>54</v>
      </c>
      <c r="M10">
        <v>51</v>
      </c>
      <c r="N10" t="s">
        <v>30</v>
      </c>
    </row>
    <row r="11" spans="1:14">
      <c r="A11">
        <v>1983</v>
      </c>
      <c r="B11" t="s">
        <v>20</v>
      </c>
      <c r="C11" t="s">
        <v>25</v>
      </c>
      <c r="D11" s="2">
        <v>0.12</v>
      </c>
      <c r="E11" t="s">
        <v>16</v>
      </c>
      <c r="F11">
        <v>0.11</v>
      </c>
      <c r="G11" t="s">
        <v>16</v>
      </c>
      <c r="H11">
        <v>0.11</v>
      </c>
      <c r="I11" t="s">
        <v>16</v>
      </c>
      <c r="J11">
        <v>335</v>
      </c>
      <c r="K11">
        <v>7.6399999999999996E-2</v>
      </c>
      <c r="L11">
        <v>72</v>
      </c>
      <c r="M11">
        <v>72</v>
      </c>
      <c r="N11" t="s">
        <v>29</v>
      </c>
    </row>
    <row r="12" spans="1:14">
      <c r="A12">
        <v>1983</v>
      </c>
      <c r="B12" t="s">
        <v>20</v>
      </c>
      <c r="C12" t="s">
        <v>31</v>
      </c>
      <c r="D12" s="2">
        <v>0.1225</v>
      </c>
      <c r="E12" t="s">
        <v>16</v>
      </c>
      <c r="F12">
        <v>0.1225</v>
      </c>
      <c r="G12" t="s">
        <v>16</v>
      </c>
      <c r="H12">
        <v>0.1225</v>
      </c>
      <c r="I12" t="s">
        <v>16</v>
      </c>
      <c r="J12">
        <v>393</v>
      </c>
      <c r="K12">
        <v>7.6399999999999996E-2</v>
      </c>
      <c r="L12">
        <v>51</v>
      </c>
      <c r="M12">
        <v>50</v>
      </c>
      <c r="N12" t="s">
        <v>32</v>
      </c>
    </row>
    <row r="13" spans="1:14">
      <c r="A13">
        <v>1983</v>
      </c>
      <c r="B13" t="s">
        <v>20</v>
      </c>
      <c r="C13" t="s">
        <v>25</v>
      </c>
      <c r="D13" s="2">
        <v>0.12</v>
      </c>
      <c r="E13" t="s">
        <v>16</v>
      </c>
      <c r="F13" t="s">
        <v>16</v>
      </c>
      <c r="G13" t="s">
        <v>16</v>
      </c>
      <c r="H13">
        <v>0.11</v>
      </c>
      <c r="I13" t="s">
        <v>16</v>
      </c>
      <c r="J13">
        <v>455</v>
      </c>
      <c r="K13">
        <v>7.6399999999999996E-2</v>
      </c>
      <c r="L13">
        <v>63</v>
      </c>
      <c r="M13">
        <v>60</v>
      </c>
      <c r="N13" t="s">
        <v>29</v>
      </c>
    </row>
    <row r="14" spans="1:14">
      <c r="A14">
        <v>1983</v>
      </c>
      <c r="B14" t="s">
        <v>20</v>
      </c>
      <c r="C14" t="s">
        <v>31</v>
      </c>
      <c r="D14" s="2">
        <v>0.129</v>
      </c>
      <c r="E14" t="s">
        <v>16</v>
      </c>
      <c r="F14">
        <v>0.122</v>
      </c>
      <c r="G14" t="s">
        <v>16</v>
      </c>
      <c r="H14">
        <v>0.122</v>
      </c>
      <c r="I14" t="s">
        <v>16</v>
      </c>
      <c r="J14">
        <v>471</v>
      </c>
      <c r="K14">
        <v>7.6399999999999996E-2</v>
      </c>
      <c r="L14">
        <v>48</v>
      </c>
      <c r="M14">
        <v>44</v>
      </c>
      <c r="N14" t="s">
        <v>33</v>
      </c>
    </row>
    <row r="15" spans="1:14">
      <c r="A15">
        <v>1983</v>
      </c>
      <c r="B15" t="s">
        <v>14</v>
      </c>
      <c r="C15" t="s">
        <v>18</v>
      </c>
      <c r="D15" s="2">
        <v>0.10639999999999999</v>
      </c>
      <c r="E15">
        <v>14149</v>
      </c>
      <c r="F15">
        <v>0.10639999999999999</v>
      </c>
      <c r="G15">
        <v>6841</v>
      </c>
      <c r="H15" t="s">
        <v>16</v>
      </c>
      <c r="I15" t="s">
        <v>16</v>
      </c>
      <c r="J15">
        <v>26</v>
      </c>
      <c r="K15">
        <v>7.6300000000000007E-2</v>
      </c>
      <c r="L15">
        <v>6</v>
      </c>
      <c r="M15">
        <v>2</v>
      </c>
      <c r="N15" t="s">
        <v>34</v>
      </c>
    </row>
    <row r="16" spans="1:14">
      <c r="A16">
        <v>1983</v>
      </c>
      <c r="B16" t="s">
        <v>14</v>
      </c>
      <c r="C16" t="s">
        <v>15</v>
      </c>
      <c r="D16" s="2">
        <v>0.1074</v>
      </c>
      <c r="E16">
        <v>195944</v>
      </c>
      <c r="F16">
        <v>0.1074</v>
      </c>
      <c r="G16">
        <v>77752</v>
      </c>
      <c r="H16">
        <v>0.1074</v>
      </c>
      <c r="I16">
        <v>108528</v>
      </c>
      <c r="J16">
        <v>35</v>
      </c>
      <c r="K16">
        <v>7.6300000000000007E-2</v>
      </c>
      <c r="L16">
        <v>16</v>
      </c>
      <c r="M16">
        <v>13</v>
      </c>
      <c r="N16" t="s">
        <v>35</v>
      </c>
    </row>
    <row r="17" spans="1:14">
      <c r="A17">
        <v>1983</v>
      </c>
      <c r="B17" t="s">
        <v>14</v>
      </c>
      <c r="C17" t="s">
        <v>15</v>
      </c>
      <c r="D17" s="2" t="s">
        <v>16</v>
      </c>
      <c r="E17" t="s">
        <v>16</v>
      </c>
      <c r="F17">
        <v>9.8699999999999996E-2</v>
      </c>
      <c r="G17">
        <v>24360</v>
      </c>
      <c r="H17" t="s">
        <v>16</v>
      </c>
      <c r="I17" t="s">
        <v>16</v>
      </c>
      <c r="J17">
        <v>157</v>
      </c>
      <c r="K17">
        <v>7.6300000000000007E-2</v>
      </c>
      <c r="L17">
        <v>12</v>
      </c>
      <c r="M17">
        <v>8</v>
      </c>
      <c r="N17" t="s">
        <v>36</v>
      </c>
    </row>
    <row r="18" spans="1:14">
      <c r="A18">
        <v>1983</v>
      </c>
      <c r="B18" t="s">
        <v>14</v>
      </c>
      <c r="C18" t="s">
        <v>18</v>
      </c>
      <c r="D18" s="2">
        <v>0.111</v>
      </c>
      <c r="E18">
        <v>12946</v>
      </c>
      <c r="F18">
        <v>0.10100000000000001</v>
      </c>
      <c r="G18">
        <v>36776</v>
      </c>
      <c r="H18">
        <v>0.10100000000000001</v>
      </c>
      <c r="I18">
        <v>117491</v>
      </c>
      <c r="J18">
        <v>176</v>
      </c>
      <c r="K18">
        <v>7.6300000000000007E-2</v>
      </c>
      <c r="L18">
        <v>7</v>
      </c>
      <c r="M18">
        <v>4</v>
      </c>
      <c r="N18" t="s">
        <v>37</v>
      </c>
    </row>
    <row r="19" spans="1:14">
      <c r="A19">
        <v>1983</v>
      </c>
      <c r="B19" t="s">
        <v>14</v>
      </c>
      <c r="C19" t="s">
        <v>15</v>
      </c>
      <c r="D19" s="2" t="s">
        <v>16</v>
      </c>
      <c r="E19" t="s">
        <v>16</v>
      </c>
      <c r="F19">
        <v>0.1026</v>
      </c>
      <c r="G19">
        <v>192879</v>
      </c>
      <c r="H19">
        <v>0.1026</v>
      </c>
      <c r="I19">
        <v>1010377</v>
      </c>
      <c r="J19">
        <v>291</v>
      </c>
      <c r="K19">
        <v>7.6300000000000007E-2</v>
      </c>
      <c r="L19">
        <v>15</v>
      </c>
      <c r="M19">
        <v>11</v>
      </c>
      <c r="N19" t="s">
        <v>37</v>
      </c>
    </row>
    <row r="20" spans="1:14">
      <c r="A20">
        <v>1983</v>
      </c>
      <c r="B20" t="s">
        <v>14</v>
      </c>
      <c r="C20" t="s">
        <v>15</v>
      </c>
      <c r="D20" s="2">
        <v>0.1095</v>
      </c>
      <c r="E20">
        <v>10387</v>
      </c>
      <c r="F20">
        <v>0.1095</v>
      </c>
      <c r="G20">
        <v>11750</v>
      </c>
      <c r="H20">
        <v>0.1095</v>
      </c>
      <c r="I20">
        <v>82409</v>
      </c>
      <c r="J20">
        <v>354</v>
      </c>
      <c r="K20">
        <v>7.6300000000000007E-2</v>
      </c>
      <c r="L20">
        <v>5</v>
      </c>
      <c r="M20">
        <v>3</v>
      </c>
      <c r="N20" t="s">
        <v>38</v>
      </c>
    </row>
    <row r="21" spans="1:14">
      <c r="A21">
        <v>1983</v>
      </c>
      <c r="B21" t="s">
        <v>20</v>
      </c>
      <c r="C21" t="s">
        <v>39</v>
      </c>
      <c r="D21" s="2">
        <v>0.13750000000000001</v>
      </c>
      <c r="E21" t="s">
        <v>16</v>
      </c>
      <c r="F21">
        <v>0.13300000000000001</v>
      </c>
      <c r="G21" t="s">
        <v>16</v>
      </c>
      <c r="H21">
        <v>0.14249999999999999</v>
      </c>
      <c r="I21" t="s">
        <v>16</v>
      </c>
      <c r="J21">
        <v>191</v>
      </c>
      <c r="K21">
        <v>7.6300000000000007E-2</v>
      </c>
      <c r="L21">
        <v>34</v>
      </c>
      <c r="M21">
        <v>30</v>
      </c>
      <c r="N21" t="s">
        <v>40</v>
      </c>
    </row>
    <row r="22" spans="1:14">
      <c r="A22">
        <v>1983</v>
      </c>
      <c r="B22" t="s">
        <v>20</v>
      </c>
      <c r="C22" t="s">
        <v>41</v>
      </c>
      <c r="D22" s="2">
        <v>0.13700000000000001</v>
      </c>
      <c r="E22" t="s">
        <v>16</v>
      </c>
      <c r="F22">
        <v>0.1116</v>
      </c>
      <c r="G22" t="s">
        <v>16</v>
      </c>
      <c r="H22">
        <v>0.13250000000000001</v>
      </c>
      <c r="I22" t="s">
        <v>16</v>
      </c>
      <c r="J22">
        <v>441</v>
      </c>
      <c r="K22">
        <v>7.6300000000000007E-2</v>
      </c>
      <c r="L22">
        <v>107</v>
      </c>
      <c r="M22">
        <v>105</v>
      </c>
      <c r="N22" t="s">
        <v>42</v>
      </c>
    </row>
    <row r="23" spans="1:14">
      <c r="A23">
        <v>1983</v>
      </c>
      <c r="B23" t="s">
        <v>20</v>
      </c>
      <c r="C23" t="s">
        <v>25</v>
      </c>
      <c r="D23" s="2">
        <v>0.125</v>
      </c>
      <c r="E23" t="s">
        <v>16</v>
      </c>
      <c r="F23">
        <v>0.125</v>
      </c>
      <c r="G23" t="s">
        <v>16</v>
      </c>
      <c r="H23">
        <v>0.125</v>
      </c>
      <c r="I23" t="s">
        <v>16</v>
      </c>
      <c r="J23">
        <v>505</v>
      </c>
      <c r="K23">
        <v>7.6300000000000007E-2</v>
      </c>
      <c r="L23">
        <v>49</v>
      </c>
      <c r="M23">
        <v>46</v>
      </c>
      <c r="N23" t="s">
        <v>42</v>
      </c>
    </row>
    <row r="24" spans="1:14">
      <c r="A24">
        <v>1983</v>
      </c>
      <c r="B24" t="s">
        <v>20</v>
      </c>
      <c r="C24" t="s">
        <v>43</v>
      </c>
      <c r="D24" s="2">
        <v>0.13</v>
      </c>
      <c r="E24" t="s">
        <v>16</v>
      </c>
      <c r="F24">
        <v>0.12</v>
      </c>
      <c r="G24" t="s">
        <v>16</v>
      </c>
      <c r="H24">
        <v>0.125</v>
      </c>
      <c r="I24" t="s">
        <v>16</v>
      </c>
      <c r="J24">
        <v>561</v>
      </c>
      <c r="K24">
        <v>7.6300000000000007E-2</v>
      </c>
      <c r="L24">
        <v>59</v>
      </c>
      <c r="M24">
        <v>56</v>
      </c>
      <c r="N24" t="s">
        <v>44</v>
      </c>
    </row>
    <row r="25" spans="1:14">
      <c r="A25">
        <v>1983</v>
      </c>
      <c r="B25" t="s">
        <v>14</v>
      </c>
      <c r="C25" t="s">
        <v>18</v>
      </c>
      <c r="D25" s="2">
        <v>0.1293</v>
      </c>
      <c r="E25">
        <v>650</v>
      </c>
      <c r="F25">
        <v>0.1215</v>
      </c>
      <c r="G25">
        <v>45920</v>
      </c>
      <c r="H25" t="s">
        <v>16</v>
      </c>
      <c r="I25" t="s">
        <v>16</v>
      </c>
      <c r="J25">
        <v>452</v>
      </c>
      <c r="K25">
        <v>7.6300000000000007E-2</v>
      </c>
      <c r="L25">
        <v>4</v>
      </c>
      <c r="M25">
        <v>0</v>
      </c>
      <c r="N25" t="s">
        <v>45</v>
      </c>
    </row>
    <row r="26" spans="1:14">
      <c r="A26">
        <v>1984</v>
      </c>
      <c r="B26" t="s">
        <v>20</v>
      </c>
      <c r="C26" t="s">
        <v>25</v>
      </c>
      <c r="D26" s="2">
        <v>0.127</v>
      </c>
      <c r="E26" t="s">
        <v>16</v>
      </c>
      <c r="F26">
        <v>0.127</v>
      </c>
      <c r="G26" t="s">
        <v>16</v>
      </c>
      <c r="H26">
        <v>0.127</v>
      </c>
      <c r="I26" t="s">
        <v>16</v>
      </c>
      <c r="J26">
        <v>441</v>
      </c>
      <c r="K26">
        <v>7.4099999999999999E-2</v>
      </c>
      <c r="L26">
        <v>107</v>
      </c>
      <c r="M26">
        <v>105</v>
      </c>
      <c r="N26" t="s">
        <v>46</v>
      </c>
    </row>
    <row r="27" spans="1:14">
      <c r="A27">
        <v>1984</v>
      </c>
      <c r="B27" t="s">
        <v>14</v>
      </c>
      <c r="C27" t="s">
        <v>18</v>
      </c>
      <c r="D27" s="2">
        <v>0.13250000000000001</v>
      </c>
      <c r="E27">
        <v>0</v>
      </c>
      <c r="F27">
        <v>0.1225</v>
      </c>
      <c r="G27">
        <v>139020</v>
      </c>
      <c r="H27" t="s">
        <v>16</v>
      </c>
      <c r="I27" t="s">
        <v>16</v>
      </c>
      <c r="J27">
        <v>452</v>
      </c>
      <c r="K27">
        <v>7.3999999999999996E-2</v>
      </c>
      <c r="L27">
        <v>4</v>
      </c>
      <c r="M27">
        <v>0</v>
      </c>
      <c r="N27" t="s">
        <v>47</v>
      </c>
    </row>
    <row r="28" spans="1:14">
      <c r="A28">
        <v>1984</v>
      </c>
      <c r="B28" t="s">
        <v>20</v>
      </c>
      <c r="C28" t="s">
        <v>21</v>
      </c>
      <c r="D28" s="2">
        <v>0.1421</v>
      </c>
      <c r="E28" t="s">
        <v>16</v>
      </c>
      <c r="F28">
        <v>0.13769999999999999</v>
      </c>
      <c r="G28" t="s">
        <v>16</v>
      </c>
      <c r="H28">
        <v>0.14580000000000001</v>
      </c>
      <c r="I28" t="s">
        <v>16</v>
      </c>
      <c r="J28">
        <v>101</v>
      </c>
      <c r="K28">
        <v>7.3999999999999996E-2</v>
      </c>
      <c r="L28">
        <v>50</v>
      </c>
      <c r="M28">
        <v>47</v>
      </c>
      <c r="N28" t="s">
        <v>48</v>
      </c>
    </row>
    <row r="29" spans="1:14">
      <c r="A29">
        <v>1984</v>
      </c>
      <c r="B29" t="s">
        <v>20</v>
      </c>
      <c r="C29" t="s">
        <v>25</v>
      </c>
      <c r="D29" s="2">
        <v>0.1255</v>
      </c>
      <c r="E29" t="s">
        <v>16</v>
      </c>
      <c r="F29">
        <v>0.11799999999999999</v>
      </c>
      <c r="G29" t="s">
        <v>16</v>
      </c>
      <c r="H29">
        <v>0.123</v>
      </c>
      <c r="I29" t="s">
        <v>16</v>
      </c>
      <c r="J29">
        <v>391</v>
      </c>
      <c r="K29">
        <v>7.3999999999999996E-2</v>
      </c>
      <c r="L29">
        <v>51</v>
      </c>
      <c r="M29">
        <v>50</v>
      </c>
      <c r="N29" t="s">
        <v>49</v>
      </c>
    </row>
    <row r="30" spans="1:14">
      <c r="A30">
        <v>1984</v>
      </c>
      <c r="B30" t="s">
        <v>20</v>
      </c>
      <c r="C30" t="s">
        <v>25</v>
      </c>
      <c r="D30" s="2">
        <v>0.127</v>
      </c>
      <c r="E30" t="s">
        <v>16</v>
      </c>
      <c r="F30">
        <v>0.11700000000000001</v>
      </c>
      <c r="G30" t="s">
        <v>16</v>
      </c>
      <c r="H30">
        <v>0.11700000000000001</v>
      </c>
      <c r="I30" t="s">
        <v>16</v>
      </c>
      <c r="J30">
        <v>393</v>
      </c>
      <c r="K30">
        <v>7.3999999999999996E-2</v>
      </c>
      <c r="L30">
        <v>51</v>
      </c>
      <c r="M30">
        <v>50</v>
      </c>
      <c r="N30" t="s">
        <v>50</v>
      </c>
    </row>
    <row r="31" spans="1:14">
      <c r="A31">
        <v>1984</v>
      </c>
      <c r="B31" t="s">
        <v>14</v>
      </c>
      <c r="C31" t="s">
        <v>18</v>
      </c>
      <c r="D31" s="2">
        <v>0.14249999999999999</v>
      </c>
      <c r="E31">
        <v>9026</v>
      </c>
      <c r="F31">
        <v>0.13250000000000001</v>
      </c>
      <c r="G31">
        <v>8987</v>
      </c>
      <c r="H31" t="s">
        <v>16</v>
      </c>
      <c r="I31" t="s">
        <v>16</v>
      </c>
      <c r="J31">
        <v>32</v>
      </c>
      <c r="K31">
        <v>7.4099999999999999E-2</v>
      </c>
      <c r="L31">
        <v>4</v>
      </c>
      <c r="M31">
        <v>2</v>
      </c>
      <c r="N31" t="s">
        <v>51</v>
      </c>
    </row>
    <row r="32" spans="1:14">
      <c r="A32">
        <v>1984</v>
      </c>
      <c r="B32" t="s">
        <v>14</v>
      </c>
      <c r="C32" t="s">
        <v>15</v>
      </c>
      <c r="D32" s="2">
        <v>0.13900000000000001</v>
      </c>
      <c r="E32">
        <v>183816</v>
      </c>
      <c r="F32">
        <v>0.13900000000000001</v>
      </c>
      <c r="G32">
        <v>82416</v>
      </c>
      <c r="H32">
        <v>0.13900000000000001</v>
      </c>
      <c r="I32">
        <v>232854</v>
      </c>
      <c r="J32">
        <v>35</v>
      </c>
      <c r="K32">
        <v>7.4099999999999999E-2</v>
      </c>
      <c r="L32">
        <v>16</v>
      </c>
      <c r="M32">
        <v>13</v>
      </c>
      <c r="N32" t="s">
        <v>52</v>
      </c>
    </row>
    <row r="33" spans="1:14">
      <c r="A33">
        <v>1984</v>
      </c>
      <c r="B33" t="s">
        <v>14</v>
      </c>
      <c r="C33" t="s">
        <v>18</v>
      </c>
      <c r="D33" s="2">
        <v>0.13950000000000001</v>
      </c>
      <c r="E33">
        <v>78447</v>
      </c>
      <c r="F33">
        <v>0.13950000000000001</v>
      </c>
      <c r="G33">
        <v>44630</v>
      </c>
      <c r="H33">
        <v>0.125</v>
      </c>
      <c r="I33" t="s">
        <v>16</v>
      </c>
      <c r="J33">
        <v>91</v>
      </c>
      <c r="K33">
        <v>7.4099999999999999E-2</v>
      </c>
      <c r="L33">
        <v>14</v>
      </c>
      <c r="M33">
        <v>11</v>
      </c>
      <c r="N33" t="s">
        <v>53</v>
      </c>
    </row>
    <row r="34" spans="1:14">
      <c r="A34">
        <v>1984</v>
      </c>
      <c r="B34" t="s">
        <v>14</v>
      </c>
      <c r="C34" t="s">
        <v>18</v>
      </c>
      <c r="D34" s="2" t="s">
        <v>16</v>
      </c>
      <c r="E34" t="s">
        <v>16</v>
      </c>
      <c r="F34">
        <v>0.12889999999999999</v>
      </c>
      <c r="G34">
        <v>192879</v>
      </c>
      <c r="H34">
        <v>0.12889999999999999</v>
      </c>
      <c r="I34">
        <v>1010377</v>
      </c>
      <c r="J34">
        <v>291</v>
      </c>
      <c r="K34">
        <v>7.4099999999999999E-2</v>
      </c>
      <c r="L34">
        <v>15</v>
      </c>
      <c r="M34">
        <v>11</v>
      </c>
      <c r="N34" t="s">
        <v>51</v>
      </c>
    </row>
    <row r="35" spans="1:14">
      <c r="A35">
        <v>1984</v>
      </c>
      <c r="B35" t="s">
        <v>20</v>
      </c>
      <c r="C35" t="s">
        <v>15</v>
      </c>
      <c r="D35" s="2">
        <v>0.13500000000000001</v>
      </c>
      <c r="E35" t="s">
        <v>16</v>
      </c>
      <c r="F35">
        <v>0.125</v>
      </c>
      <c r="G35" t="s">
        <v>16</v>
      </c>
      <c r="H35">
        <v>0.13150000000000001</v>
      </c>
      <c r="I35" t="s">
        <v>16</v>
      </c>
      <c r="J35">
        <v>191</v>
      </c>
      <c r="K35">
        <v>7.4099999999999999E-2</v>
      </c>
      <c r="L35">
        <v>34</v>
      </c>
      <c r="M35">
        <v>30</v>
      </c>
      <c r="N35" t="s">
        <v>54</v>
      </c>
    </row>
    <row r="36" spans="1:14">
      <c r="A36">
        <v>1984</v>
      </c>
      <c r="B36" t="s">
        <v>20</v>
      </c>
      <c r="C36" t="s">
        <v>55</v>
      </c>
      <c r="D36" s="2" t="s">
        <v>16</v>
      </c>
      <c r="E36" t="s">
        <v>16</v>
      </c>
      <c r="F36">
        <v>0.112</v>
      </c>
      <c r="G36" t="s">
        <v>16</v>
      </c>
      <c r="H36">
        <v>0.112</v>
      </c>
      <c r="I36" t="s">
        <v>16</v>
      </c>
      <c r="J36">
        <v>241</v>
      </c>
      <c r="K36">
        <v>7.4099999999999999E-2</v>
      </c>
      <c r="L36">
        <v>54</v>
      </c>
      <c r="M36">
        <v>51</v>
      </c>
      <c r="N36" t="s">
        <v>51</v>
      </c>
    </row>
    <row r="37" spans="1:14">
      <c r="A37">
        <v>1984</v>
      </c>
      <c r="B37" t="s">
        <v>20</v>
      </c>
      <c r="C37" t="s">
        <v>25</v>
      </c>
      <c r="D37" s="2">
        <v>0.126</v>
      </c>
      <c r="E37" t="s">
        <v>16</v>
      </c>
      <c r="F37">
        <v>0.11600000000000001</v>
      </c>
      <c r="G37" t="s">
        <v>16</v>
      </c>
      <c r="H37" t="s">
        <v>16</v>
      </c>
      <c r="I37" t="s">
        <v>16</v>
      </c>
      <c r="J37">
        <v>335</v>
      </c>
      <c r="K37">
        <v>7.4099999999999999E-2</v>
      </c>
      <c r="L37">
        <v>72</v>
      </c>
      <c r="M37">
        <v>72</v>
      </c>
      <c r="N37" t="s">
        <v>56</v>
      </c>
    </row>
    <row r="38" spans="1:14">
      <c r="A38">
        <v>1984</v>
      </c>
      <c r="B38" t="s">
        <v>20</v>
      </c>
      <c r="C38" t="s">
        <v>15</v>
      </c>
      <c r="D38" s="2">
        <v>0.128</v>
      </c>
      <c r="E38" t="s">
        <v>16</v>
      </c>
      <c r="F38">
        <v>0.12</v>
      </c>
      <c r="G38" t="s">
        <v>16</v>
      </c>
      <c r="H38">
        <v>0.122</v>
      </c>
      <c r="I38" t="s">
        <v>16</v>
      </c>
      <c r="J38">
        <v>471</v>
      </c>
      <c r="K38">
        <v>7.4099999999999999E-2</v>
      </c>
      <c r="L38">
        <v>48</v>
      </c>
      <c r="M38">
        <v>44</v>
      </c>
      <c r="N38" t="s">
        <v>57</v>
      </c>
    </row>
    <row r="39" spans="1:14">
      <c r="A39">
        <v>1984</v>
      </c>
      <c r="B39" t="s">
        <v>14</v>
      </c>
      <c r="C39" t="s">
        <v>18</v>
      </c>
      <c r="D39" s="2">
        <v>0.13900000000000001</v>
      </c>
      <c r="E39">
        <v>14216</v>
      </c>
      <c r="F39">
        <v>0.13900000000000001</v>
      </c>
      <c r="G39">
        <v>8895</v>
      </c>
      <c r="H39" t="s">
        <v>16</v>
      </c>
      <c r="I39" t="s">
        <v>16</v>
      </c>
      <c r="J39">
        <v>26</v>
      </c>
      <c r="K39">
        <v>7.4099999999999999E-2</v>
      </c>
      <c r="L39">
        <v>6</v>
      </c>
      <c r="M39">
        <v>2</v>
      </c>
      <c r="N39" t="s">
        <v>58</v>
      </c>
    </row>
    <row r="40" spans="1:14">
      <c r="A40">
        <v>1984</v>
      </c>
      <c r="B40" t="s">
        <v>14</v>
      </c>
      <c r="C40" t="s">
        <v>15</v>
      </c>
      <c r="D40" s="2">
        <v>0.13100000000000001</v>
      </c>
      <c r="E40">
        <v>51404</v>
      </c>
      <c r="F40">
        <v>0.13100000000000001</v>
      </c>
      <c r="G40">
        <v>292086</v>
      </c>
      <c r="H40">
        <v>0.13100000000000001</v>
      </c>
      <c r="I40">
        <v>429493</v>
      </c>
      <c r="J40">
        <v>134</v>
      </c>
      <c r="K40">
        <v>7.4099999999999999E-2</v>
      </c>
      <c r="L40">
        <v>3</v>
      </c>
      <c r="M40">
        <v>1</v>
      </c>
      <c r="N40" t="s">
        <v>59</v>
      </c>
    </row>
    <row r="41" spans="1:14">
      <c r="A41">
        <v>1984</v>
      </c>
      <c r="B41" t="s">
        <v>14</v>
      </c>
      <c r="C41" t="s">
        <v>15</v>
      </c>
      <c r="D41" s="2" t="s">
        <v>16</v>
      </c>
      <c r="E41" t="s">
        <v>16</v>
      </c>
      <c r="F41">
        <v>0.13200000000000001</v>
      </c>
      <c r="G41">
        <v>24360</v>
      </c>
      <c r="H41" t="s">
        <v>16</v>
      </c>
      <c r="I41" t="s">
        <v>16</v>
      </c>
      <c r="J41">
        <v>157</v>
      </c>
      <c r="K41">
        <v>7.4099999999999999E-2</v>
      </c>
      <c r="L41">
        <v>12</v>
      </c>
      <c r="M41">
        <v>8</v>
      </c>
      <c r="N41" t="s">
        <v>58</v>
      </c>
    </row>
    <row r="42" spans="1:14">
      <c r="A42">
        <v>1984</v>
      </c>
      <c r="B42" t="s">
        <v>14</v>
      </c>
      <c r="C42" t="s">
        <v>18</v>
      </c>
      <c r="D42" s="2">
        <v>0.13800000000000001</v>
      </c>
      <c r="E42">
        <v>17953</v>
      </c>
      <c r="F42">
        <v>0.128</v>
      </c>
      <c r="G42">
        <v>33432</v>
      </c>
      <c r="H42">
        <v>0.13800000000000001</v>
      </c>
      <c r="I42">
        <v>115828</v>
      </c>
      <c r="J42">
        <v>176</v>
      </c>
      <c r="K42">
        <v>7.4099999999999999E-2</v>
      </c>
      <c r="L42">
        <v>7</v>
      </c>
      <c r="M42">
        <v>4</v>
      </c>
      <c r="N42" t="s">
        <v>59</v>
      </c>
    </row>
    <row r="43" spans="1:14">
      <c r="A43">
        <v>1984</v>
      </c>
      <c r="B43" t="s">
        <v>14</v>
      </c>
      <c r="C43" t="s">
        <v>15</v>
      </c>
      <c r="D43" s="2">
        <v>0.1462</v>
      </c>
      <c r="E43">
        <v>10387</v>
      </c>
      <c r="F43">
        <v>0.1462</v>
      </c>
      <c r="G43">
        <v>11750</v>
      </c>
      <c r="H43">
        <v>0.1462</v>
      </c>
      <c r="I43">
        <v>82409</v>
      </c>
      <c r="J43">
        <v>354</v>
      </c>
      <c r="K43">
        <v>7.4099999999999999E-2</v>
      </c>
      <c r="L43">
        <v>5</v>
      </c>
      <c r="M43">
        <v>3</v>
      </c>
      <c r="N43" t="s">
        <v>60</v>
      </c>
    </row>
    <row r="44" spans="1:14">
      <c r="A44">
        <v>1984</v>
      </c>
      <c r="B44" t="s">
        <v>14</v>
      </c>
      <c r="C44" t="s">
        <v>15</v>
      </c>
      <c r="D44" s="2" t="s">
        <v>16</v>
      </c>
      <c r="E44" t="s">
        <v>16</v>
      </c>
      <c r="F44">
        <v>0.13550000000000001</v>
      </c>
      <c r="G44">
        <v>22465</v>
      </c>
      <c r="H44" t="s">
        <v>16</v>
      </c>
      <c r="I44" t="s">
        <v>16</v>
      </c>
      <c r="J44">
        <v>533</v>
      </c>
      <c r="K44">
        <v>7.4099999999999999E-2</v>
      </c>
      <c r="L44">
        <v>9</v>
      </c>
      <c r="M44">
        <v>7</v>
      </c>
      <c r="N44" t="s">
        <v>61</v>
      </c>
    </row>
    <row r="45" spans="1:14">
      <c r="A45">
        <v>1984</v>
      </c>
      <c r="B45" t="s">
        <v>14</v>
      </c>
      <c r="C45" t="s">
        <v>18</v>
      </c>
      <c r="D45" s="2">
        <v>0.14199999999999999</v>
      </c>
      <c r="E45">
        <v>35941</v>
      </c>
      <c r="F45">
        <v>0.13200000000000001</v>
      </c>
      <c r="G45">
        <v>14457</v>
      </c>
      <c r="H45" t="s">
        <v>16</v>
      </c>
      <c r="I45" t="s">
        <v>16</v>
      </c>
      <c r="J45">
        <v>567</v>
      </c>
      <c r="K45">
        <v>7.4099999999999999E-2</v>
      </c>
      <c r="L45">
        <v>23</v>
      </c>
      <c r="M45">
        <v>19</v>
      </c>
      <c r="N45" t="s">
        <v>60</v>
      </c>
    </row>
    <row r="46" spans="1:14">
      <c r="A46">
        <v>1984</v>
      </c>
      <c r="B46" t="s">
        <v>20</v>
      </c>
      <c r="C46" t="s">
        <v>25</v>
      </c>
      <c r="D46" s="2">
        <v>0.125</v>
      </c>
      <c r="E46" t="s">
        <v>16</v>
      </c>
      <c r="F46" t="s">
        <v>16</v>
      </c>
      <c r="G46" t="s">
        <v>16</v>
      </c>
      <c r="H46" t="s">
        <v>16</v>
      </c>
      <c r="I46" t="s">
        <v>16</v>
      </c>
      <c r="J46">
        <v>13</v>
      </c>
      <c r="K46">
        <v>7.4099999999999999E-2</v>
      </c>
      <c r="L46">
        <v>36</v>
      </c>
      <c r="M46">
        <v>34</v>
      </c>
      <c r="N46" t="s">
        <v>58</v>
      </c>
    </row>
    <row r="47" spans="1:14">
      <c r="A47">
        <v>1984</v>
      </c>
      <c r="B47" t="s">
        <v>20</v>
      </c>
      <c r="C47" t="s">
        <v>25</v>
      </c>
      <c r="D47" s="2">
        <v>0.125</v>
      </c>
      <c r="E47" t="s">
        <v>16</v>
      </c>
      <c r="F47">
        <v>0.11799999999999999</v>
      </c>
      <c r="G47" t="s">
        <v>16</v>
      </c>
      <c r="H47">
        <v>0.122</v>
      </c>
      <c r="I47" t="s">
        <v>16</v>
      </c>
      <c r="J47">
        <v>171</v>
      </c>
      <c r="K47">
        <v>7.4099999999999999E-2</v>
      </c>
      <c r="L47">
        <v>64</v>
      </c>
      <c r="M47">
        <v>62</v>
      </c>
      <c r="N47" t="s">
        <v>62</v>
      </c>
    </row>
    <row r="48" spans="1:14">
      <c r="A48">
        <v>1984</v>
      </c>
      <c r="B48" t="s">
        <v>20</v>
      </c>
      <c r="C48" t="s">
        <v>28</v>
      </c>
      <c r="D48" s="2">
        <v>0.1225</v>
      </c>
      <c r="E48" t="s">
        <v>16</v>
      </c>
      <c r="F48">
        <v>0.1154</v>
      </c>
      <c r="G48" t="s">
        <v>16</v>
      </c>
      <c r="H48">
        <v>0.1145</v>
      </c>
      <c r="I48" t="s">
        <v>16</v>
      </c>
      <c r="J48">
        <v>593</v>
      </c>
      <c r="K48">
        <v>7.4099999999999999E-2</v>
      </c>
      <c r="L48">
        <v>36</v>
      </c>
      <c r="M48">
        <v>32</v>
      </c>
      <c r="N48" t="s">
        <v>58</v>
      </c>
    </row>
    <row r="49" spans="1:14">
      <c r="A49">
        <v>1984</v>
      </c>
      <c r="B49" t="s">
        <v>20</v>
      </c>
      <c r="C49" t="s">
        <v>25</v>
      </c>
      <c r="D49" s="2">
        <v>0.125</v>
      </c>
      <c r="E49" t="s">
        <v>16</v>
      </c>
      <c r="F49">
        <v>0.125</v>
      </c>
      <c r="G49" t="s">
        <v>16</v>
      </c>
      <c r="H49">
        <v>0.125</v>
      </c>
      <c r="I49" t="s">
        <v>16</v>
      </c>
      <c r="J49">
        <v>505</v>
      </c>
      <c r="K49">
        <v>7.4099999999999999E-2</v>
      </c>
      <c r="L49">
        <v>49</v>
      </c>
      <c r="M49">
        <v>46</v>
      </c>
      <c r="N49" t="s">
        <v>63</v>
      </c>
    </row>
    <row r="50" spans="1:14">
      <c r="A50">
        <v>1984</v>
      </c>
      <c r="B50" t="s">
        <v>20</v>
      </c>
      <c r="C50" t="s">
        <v>43</v>
      </c>
      <c r="D50" s="2">
        <v>0.1295</v>
      </c>
      <c r="E50" t="s">
        <v>16</v>
      </c>
      <c r="F50">
        <v>0.12</v>
      </c>
      <c r="G50" t="s">
        <v>16</v>
      </c>
      <c r="H50">
        <v>0.125</v>
      </c>
      <c r="I50" t="s">
        <v>16</v>
      </c>
      <c r="J50">
        <v>561</v>
      </c>
      <c r="K50">
        <v>7.4099999999999999E-2</v>
      </c>
      <c r="L50">
        <v>59</v>
      </c>
      <c r="M50">
        <v>56</v>
      </c>
      <c r="N50" t="s">
        <v>64</v>
      </c>
    </row>
    <row r="51" spans="1:14">
      <c r="A51">
        <v>1985</v>
      </c>
      <c r="B51" t="s">
        <v>20</v>
      </c>
      <c r="C51" t="s">
        <v>28</v>
      </c>
      <c r="D51" s="2">
        <v>0.125</v>
      </c>
      <c r="E51" t="s">
        <v>16</v>
      </c>
      <c r="F51">
        <v>0.125</v>
      </c>
      <c r="G51" t="s">
        <v>16</v>
      </c>
      <c r="H51">
        <v>0.125</v>
      </c>
      <c r="I51" t="s">
        <v>16</v>
      </c>
      <c r="J51">
        <v>441</v>
      </c>
      <c r="K51">
        <v>7.3400000000000007E-2</v>
      </c>
      <c r="L51">
        <v>107</v>
      </c>
      <c r="M51">
        <v>105</v>
      </c>
      <c r="N51" t="s">
        <v>65</v>
      </c>
    </row>
    <row r="52" spans="1:14">
      <c r="A52">
        <v>1985</v>
      </c>
      <c r="B52" t="s">
        <v>14</v>
      </c>
      <c r="C52" t="s">
        <v>18</v>
      </c>
      <c r="D52" s="2">
        <v>0.13100000000000001</v>
      </c>
      <c r="E52">
        <v>17350</v>
      </c>
      <c r="F52">
        <v>0.129</v>
      </c>
      <c r="G52">
        <v>116320</v>
      </c>
      <c r="H52" t="s">
        <v>16</v>
      </c>
      <c r="I52" t="s">
        <v>16</v>
      </c>
      <c r="J52">
        <v>452</v>
      </c>
      <c r="K52">
        <v>7.1599999999999997E-2</v>
      </c>
      <c r="L52">
        <v>4</v>
      </c>
      <c r="M52">
        <v>0</v>
      </c>
      <c r="N52" t="s">
        <v>66</v>
      </c>
    </row>
    <row r="53" spans="1:14">
      <c r="A53">
        <v>1985</v>
      </c>
      <c r="B53" t="s">
        <v>20</v>
      </c>
      <c r="C53" t="s">
        <v>25</v>
      </c>
      <c r="D53" s="2">
        <v>0.129</v>
      </c>
      <c r="E53" t="s">
        <v>16</v>
      </c>
      <c r="F53">
        <v>0.11899999999999999</v>
      </c>
      <c r="G53" t="s">
        <v>16</v>
      </c>
      <c r="H53">
        <v>0.124</v>
      </c>
      <c r="I53" t="s">
        <v>16</v>
      </c>
      <c r="J53">
        <v>393</v>
      </c>
      <c r="K53">
        <v>7.1599999999999997E-2</v>
      </c>
      <c r="L53">
        <v>51</v>
      </c>
      <c r="M53">
        <v>50</v>
      </c>
      <c r="N53" t="s">
        <v>66</v>
      </c>
    </row>
    <row r="54" spans="1:14">
      <c r="A54">
        <v>1985</v>
      </c>
      <c r="B54" t="s">
        <v>14</v>
      </c>
      <c r="C54" t="s">
        <v>18</v>
      </c>
      <c r="D54" s="2">
        <v>0.14499999999999999</v>
      </c>
      <c r="E54">
        <v>9170</v>
      </c>
      <c r="F54">
        <v>0.13500000000000001</v>
      </c>
      <c r="G54">
        <v>9131</v>
      </c>
      <c r="H54" t="s">
        <v>16</v>
      </c>
      <c r="I54" t="s">
        <v>16</v>
      </c>
      <c r="J54">
        <v>32</v>
      </c>
      <c r="K54">
        <v>7.0699999999999999E-2</v>
      </c>
      <c r="L54">
        <v>4</v>
      </c>
      <c r="M54">
        <v>2</v>
      </c>
      <c r="N54" t="s">
        <v>67</v>
      </c>
    </row>
    <row r="55" spans="1:14">
      <c r="A55">
        <v>1985</v>
      </c>
      <c r="B55" t="s">
        <v>14</v>
      </c>
      <c r="C55" t="s">
        <v>15</v>
      </c>
      <c r="D55" s="2">
        <v>0.14099999999999999</v>
      </c>
      <c r="E55">
        <v>129366</v>
      </c>
      <c r="F55">
        <v>0.14099999999999999</v>
      </c>
      <c r="G55">
        <v>78807</v>
      </c>
      <c r="H55">
        <v>0.14099999999999999</v>
      </c>
      <c r="I55">
        <v>276279</v>
      </c>
      <c r="J55">
        <v>35</v>
      </c>
      <c r="K55">
        <v>7.0699999999999999E-2</v>
      </c>
      <c r="L55">
        <v>16</v>
      </c>
      <c r="M55">
        <v>13</v>
      </c>
      <c r="N55" t="s">
        <v>68</v>
      </c>
    </row>
    <row r="56" spans="1:14">
      <c r="A56">
        <v>1985</v>
      </c>
      <c r="B56" t="s">
        <v>14</v>
      </c>
      <c r="C56" t="s">
        <v>18</v>
      </c>
      <c r="D56" s="2">
        <v>0.13930000000000001</v>
      </c>
      <c r="E56">
        <v>70812</v>
      </c>
      <c r="F56">
        <v>0.13930000000000001</v>
      </c>
      <c r="G56">
        <v>51959</v>
      </c>
      <c r="H56" t="s">
        <v>16</v>
      </c>
      <c r="I56" t="s">
        <v>16</v>
      </c>
      <c r="J56">
        <v>91</v>
      </c>
      <c r="K56">
        <v>7.0699999999999999E-2</v>
      </c>
      <c r="L56">
        <v>14</v>
      </c>
      <c r="M56">
        <v>11</v>
      </c>
      <c r="N56" t="s">
        <v>69</v>
      </c>
    </row>
    <row r="57" spans="1:14">
      <c r="A57">
        <v>1985</v>
      </c>
      <c r="B57" t="s">
        <v>14</v>
      </c>
      <c r="C57" t="s">
        <v>15</v>
      </c>
      <c r="D57" s="2">
        <v>0.14449999999999999</v>
      </c>
      <c r="E57">
        <v>19806</v>
      </c>
      <c r="F57">
        <v>0.13450000000000001</v>
      </c>
      <c r="G57">
        <v>28090</v>
      </c>
      <c r="H57">
        <v>0.13950000000000001</v>
      </c>
      <c r="I57">
        <v>195967</v>
      </c>
      <c r="J57">
        <v>147</v>
      </c>
      <c r="K57">
        <v>7.0699999999999999E-2</v>
      </c>
      <c r="L57">
        <v>2</v>
      </c>
      <c r="M57">
        <v>2</v>
      </c>
      <c r="N57" t="s">
        <v>70</v>
      </c>
    </row>
    <row r="58" spans="1:14">
      <c r="A58">
        <v>1985</v>
      </c>
      <c r="B58" t="s">
        <v>14</v>
      </c>
      <c r="C58" t="s">
        <v>18</v>
      </c>
      <c r="D58" s="2" t="s">
        <v>16</v>
      </c>
      <c r="E58" t="s">
        <v>16</v>
      </c>
      <c r="F58">
        <v>0.12989999999999999</v>
      </c>
      <c r="G58">
        <v>193422</v>
      </c>
      <c r="H58">
        <v>0.12989999999999999</v>
      </c>
      <c r="I58">
        <v>1013224</v>
      </c>
      <c r="J58">
        <v>291</v>
      </c>
      <c r="K58">
        <v>7.0699999999999999E-2</v>
      </c>
      <c r="L58">
        <v>15</v>
      </c>
      <c r="M58">
        <v>11</v>
      </c>
      <c r="N58" t="s">
        <v>71</v>
      </c>
    </row>
    <row r="59" spans="1:14">
      <c r="A59">
        <v>1985</v>
      </c>
      <c r="B59" t="s">
        <v>14</v>
      </c>
      <c r="C59" t="s">
        <v>18</v>
      </c>
      <c r="D59" s="2">
        <v>0.14349999999999999</v>
      </c>
      <c r="E59">
        <v>34164</v>
      </c>
      <c r="F59">
        <v>0.13350000000000001</v>
      </c>
      <c r="G59">
        <v>17264</v>
      </c>
      <c r="H59" t="s">
        <v>16</v>
      </c>
      <c r="I59" t="s">
        <v>16</v>
      </c>
      <c r="J59">
        <v>567</v>
      </c>
      <c r="K59">
        <v>7.0699999999999999E-2</v>
      </c>
      <c r="L59">
        <v>23</v>
      </c>
      <c r="M59">
        <v>19</v>
      </c>
      <c r="N59" t="s">
        <v>72</v>
      </c>
    </row>
    <row r="60" spans="1:14">
      <c r="A60">
        <v>1985</v>
      </c>
      <c r="B60" t="s">
        <v>20</v>
      </c>
      <c r="C60" t="s">
        <v>73</v>
      </c>
      <c r="D60" s="2">
        <v>0.129</v>
      </c>
      <c r="E60" t="s">
        <v>16</v>
      </c>
      <c r="F60">
        <v>0.125</v>
      </c>
      <c r="G60" t="s">
        <v>16</v>
      </c>
      <c r="H60">
        <v>0.13800000000000001</v>
      </c>
      <c r="I60" t="s">
        <v>16</v>
      </c>
      <c r="J60">
        <v>101</v>
      </c>
      <c r="K60">
        <v>7.0699999999999999E-2</v>
      </c>
      <c r="L60">
        <v>50</v>
      </c>
      <c r="M60">
        <v>47</v>
      </c>
      <c r="N60" t="s">
        <v>74</v>
      </c>
    </row>
    <row r="61" spans="1:14">
      <c r="A61">
        <v>1985</v>
      </c>
      <c r="B61" t="s">
        <v>20</v>
      </c>
      <c r="C61" t="s">
        <v>25</v>
      </c>
      <c r="D61" s="2">
        <v>0.129</v>
      </c>
      <c r="E61" t="s">
        <v>16</v>
      </c>
      <c r="F61">
        <v>0.122</v>
      </c>
      <c r="G61" t="s">
        <v>16</v>
      </c>
      <c r="H61">
        <v>0.126</v>
      </c>
      <c r="I61" t="s">
        <v>16</v>
      </c>
      <c r="J61">
        <v>171</v>
      </c>
      <c r="K61">
        <v>7.0699999999999999E-2</v>
      </c>
      <c r="L61">
        <v>64</v>
      </c>
      <c r="M61">
        <v>62</v>
      </c>
      <c r="N61" t="s">
        <v>75</v>
      </c>
    </row>
    <row r="62" spans="1:14">
      <c r="A62">
        <v>1985</v>
      </c>
      <c r="B62" t="s">
        <v>20</v>
      </c>
      <c r="C62" t="s">
        <v>18</v>
      </c>
      <c r="D62" s="2" t="s">
        <v>16</v>
      </c>
      <c r="E62" t="s">
        <v>16</v>
      </c>
      <c r="F62">
        <v>0.1079</v>
      </c>
      <c r="G62" t="s">
        <v>16</v>
      </c>
      <c r="H62">
        <v>0.1079</v>
      </c>
      <c r="I62" t="s">
        <v>16</v>
      </c>
      <c r="J62">
        <v>241</v>
      </c>
      <c r="K62">
        <v>7.0699999999999999E-2</v>
      </c>
      <c r="L62">
        <v>54</v>
      </c>
      <c r="M62">
        <v>51</v>
      </c>
      <c r="N62" t="s">
        <v>67</v>
      </c>
    </row>
    <row r="63" spans="1:14">
      <c r="A63">
        <v>1985</v>
      </c>
      <c r="B63" t="s">
        <v>20</v>
      </c>
      <c r="C63" t="s">
        <v>25</v>
      </c>
      <c r="D63" s="2">
        <v>0.13100000000000001</v>
      </c>
      <c r="E63" t="s">
        <v>16</v>
      </c>
      <c r="F63">
        <v>0.121</v>
      </c>
      <c r="G63" t="s">
        <v>16</v>
      </c>
      <c r="H63" t="s">
        <v>16</v>
      </c>
      <c r="I63" t="s">
        <v>16</v>
      </c>
      <c r="J63">
        <v>335</v>
      </c>
      <c r="K63">
        <v>7.0699999999999999E-2</v>
      </c>
      <c r="L63">
        <v>72</v>
      </c>
      <c r="M63">
        <v>72</v>
      </c>
      <c r="N63" t="s">
        <v>76</v>
      </c>
    </row>
    <row r="64" spans="1:14">
      <c r="A64">
        <v>1985</v>
      </c>
      <c r="B64" t="s">
        <v>20</v>
      </c>
      <c r="C64" t="s">
        <v>15</v>
      </c>
      <c r="D64" s="2">
        <v>0.1225</v>
      </c>
      <c r="E64" t="s">
        <v>16</v>
      </c>
      <c r="F64">
        <v>0.113</v>
      </c>
      <c r="G64" t="s">
        <v>16</v>
      </c>
      <c r="H64">
        <v>0.1099</v>
      </c>
      <c r="I64" t="s">
        <v>16</v>
      </c>
      <c r="J64">
        <v>435</v>
      </c>
      <c r="K64">
        <v>7.0699999999999999E-2</v>
      </c>
      <c r="L64">
        <v>81</v>
      </c>
      <c r="M64">
        <v>78</v>
      </c>
      <c r="N64" t="s">
        <v>77</v>
      </c>
    </row>
    <row r="65" spans="1:14">
      <c r="A65">
        <v>1985</v>
      </c>
      <c r="B65" t="s">
        <v>20</v>
      </c>
      <c r="C65" t="s">
        <v>28</v>
      </c>
      <c r="D65" s="2">
        <v>0.1225</v>
      </c>
      <c r="E65" t="s">
        <v>16</v>
      </c>
      <c r="F65" t="s">
        <v>16</v>
      </c>
      <c r="G65" t="s">
        <v>16</v>
      </c>
      <c r="H65">
        <v>0.12</v>
      </c>
      <c r="I65" t="s">
        <v>16</v>
      </c>
      <c r="J65">
        <v>455</v>
      </c>
      <c r="K65">
        <v>7.0699999999999999E-2</v>
      </c>
      <c r="L65">
        <v>63</v>
      </c>
      <c r="M65">
        <v>60</v>
      </c>
      <c r="N65" t="s">
        <v>76</v>
      </c>
    </row>
    <row r="66" spans="1:14">
      <c r="A66">
        <v>1985</v>
      </c>
      <c r="B66" t="s">
        <v>20</v>
      </c>
      <c r="C66" t="s">
        <v>18</v>
      </c>
      <c r="D66" s="2">
        <v>0.123</v>
      </c>
      <c r="E66" t="s">
        <v>16</v>
      </c>
      <c r="F66">
        <v>0.113</v>
      </c>
      <c r="G66" t="s">
        <v>16</v>
      </c>
      <c r="H66">
        <v>0.112</v>
      </c>
      <c r="I66" t="s">
        <v>16</v>
      </c>
      <c r="J66">
        <v>471</v>
      </c>
      <c r="K66">
        <v>7.0699999999999999E-2</v>
      </c>
      <c r="L66">
        <v>48</v>
      </c>
      <c r="M66">
        <v>44</v>
      </c>
      <c r="N66" t="s">
        <v>69</v>
      </c>
    </row>
    <row r="67" spans="1:14">
      <c r="A67">
        <v>1985</v>
      </c>
      <c r="B67" t="s">
        <v>20</v>
      </c>
      <c r="C67" t="s">
        <v>15</v>
      </c>
      <c r="D67" s="2">
        <v>0.125</v>
      </c>
      <c r="E67" t="s">
        <v>16</v>
      </c>
      <c r="F67">
        <v>0.1145</v>
      </c>
      <c r="G67" t="s">
        <v>16</v>
      </c>
      <c r="H67">
        <v>0.114</v>
      </c>
      <c r="I67" t="s">
        <v>16</v>
      </c>
      <c r="J67">
        <v>495</v>
      </c>
      <c r="K67">
        <v>7.0699999999999999E-2</v>
      </c>
      <c r="L67">
        <v>96</v>
      </c>
      <c r="M67">
        <v>93</v>
      </c>
      <c r="N67" t="s">
        <v>78</v>
      </c>
    </row>
    <row r="68" spans="1:14">
      <c r="A68">
        <v>1985</v>
      </c>
      <c r="B68" t="s">
        <v>20</v>
      </c>
      <c r="C68" t="s">
        <v>25</v>
      </c>
      <c r="D68" s="2">
        <v>0.1275</v>
      </c>
      <c r="E68" t="s">
        <v>16</v>
      </c>
      <c r="F68">
        <v>0.125</v>
      </c>
      <c r="G68" t="s">
        <v>16</v>
      </c>
      <c r="H68">
        <v>0.125</v>
      </c>
      <c r="I68" t="s">
        <v>16</v>
      </c>
      <c r="J68">
        <v>505</v>
      </c>
      <c r="K68">
        <v>7.0699999999999999E-2</v>
      </c>
      <c r="L68">
        <v>49</v>
      </c>
      <c r="M68">
        <v>46</v>
      </c>
      <c r="N68" t="s">
        <v>72</v>
      </c>
    </row>
    <row r="69" spans="1:14">
      <c r="A69">
        <v>1985</v>
      </c>
      <c r="B69" t="s">
        <v>14</v>
      </c>
      <c r="C69" t="s">
        <v>18</v>
      </c>
      <c r="D69" s="2">
        <v>0.14399999999999999</v>
      </c>
      <c r="E69">
        <v>16543</v>
      </c>
      <c r="F69">
        <v>0.14399999999999999</v>
      </c>
      <c r="G69">
        <v>3686</v>
      </c>
      <c r="H69" t="s">
        <v>16</v>
      </c>
      <c r="I69" t="s">
        <v>16</v>
      </c>
      <c r="J69">
        <v>26</v>
      </c>
      <c r="K69">
        <v>6.93E-2</v>
      </c>
      <c r="L69">
        <v>6</v>
      </c>
      <c r="M69">
        <v>2</v>
      </c>
      <c r="N69" t="s">
        <v>79</v>
      </c>
    </row>
    <row r="70" spans="1:14">
      <c r="A70">
        <v>1985</v>
      </c>
      <c r="B70" t="s">
        <v>14</v>
      </c>
      <c r="C70" t="s">
        <v>15</v>
      </c>
      <c r="D70" s="2">
        <v>0.13400000000000001</v>
      </c>
      <c r="E70">
        <v>49918</v>
      </c>
      <c r="F70">
        <v>0.13400000000000001</v>
      </c>
      <c r="G70">
        <v>283645</v>
      </c>
      <c r="H70">
        <v>0.13400000000000001</v>
      </c>
      <c r="I70">
        <v>417080</v>
      </c>
      <c r="J70">
        <v>134</v>
      </c>
      <c r="K70">
        <v>6.93E-2</v>
      </c>
      <c r="L70">
        <v>3</v>
      </c>
      <c r="M70">
        <v>1</v>
      </c>
      <c r="N70" t="s">
        <v>80</v>
      </c>
    </row>
    <row r="71" spans="1:14">
      <c r="A71">
        <v>1985</v>
      </c>
      <c r="B71" t="s">
        <v>14</v>
      </c>
      <c r="C71" t="s">
        <v>15</v>
      </c>
      <c r="D71" s="2" t="s">
        <v>16</v>
      </c>
      <c r="E71" t="s">
        <v>16</v>
      </c>
      <c r="F71">
        <v>0.13450000000000001</v>
      </c>
      <c r="G71">
        <v>25287</v>
      </c>
      <c r="H71" t="s">
        <v>16</v>
      </c>
      <c r="I71" t="s">
        <v>16</v>
      </c>
      <c r="J71">
        <v>157</v>
      </c>
      <c r="K71">
        <v>6.93E-2</v>
      </c>
      <c r="L71">
        <v>12</v>
      </c>
      <c r="M71">
        <v>8</v>
      </c>
      <c r="N71" t="s">
        <v>81</v>
      </c>
    </row>
    <row r="72" spans="1:14">
      <c r="A72">
        <v>1985</v>
      </c>
      <c r="B72" t="s">
        <v>14</v>
      </c>
      <c r="C72" t="s">
        <v>18</v>
      </c>
      <c r="D72" s="2">
        <v>0.1449</v>
      </c>
      <c r="E72">
        <v>14962</v>
      </c>
      <c r="F72">
        <v>0.13489999999999999</v>
      </c>
      <c r="G72">
        <v>36288</v>
      </c>
      <c r="H72">
        <v>0.1399</v>
      </c>
      <c r="I72">
        <v>116192</v>
      </c>
      <c r="J72">
        <v>176</v>
      </c>
      <c r="K72">
        <v>6.93E-2</v>
      </c>
      <c r="L72">
        <v>7</v>
      </c>
      <c r="M72">
        <v>4</v>
      </c>
      <c r="N72" t="s">
        <v>82</v>
      </c>
    </row>
    <row r="73" spans="1:14">
      <c r="A73">
        <v>1985</v>
      </c>
      <c r="B73" t="s">
        <v>14</v>
      </c>
      <c r="C73" t="s">
        <v>15</v>
      </c>
      <c r="D73" s="2">
        <v>0.14799999999999999</v>
      </c>
      <c r="E73">
        <v>11327</v>
      </c>
      <c r="F73">
        <v>0.14799999999999999</v>
      </c>
      <c r="G73">
        <v>12814</v>
      </c>
      <c r="H73">
        <v>0.14799999999999999</v>
      </c>
      <c r="I73">
        <v>89870</v>
      </c>
      <c r="J73">
        <v>354</v>
      </c>
      <c r="K73">
        <v>6.93E-2</v>
      </c>
      <c r="L73">
        <v>5</v>
      </c>
      <c r="M73">
        <v>3</v>
      </c>
      <c r="N73" t="s">
        <v>83</v>
      </c>
    </row>
    <row r="74" spans="1:14">
      <c r="A74">
        <v>1985</v>
      </c>
      <c r="B74" t="s">
        <v>14</v>
      </c>
      <c r="C74" t="s">
        <v>15</v>
      </c>
      <c r="D74" s="2" t="s">
        <v>16</v>
      </c>
      <c r="E74" t="s">
        <v>16</v>
      </c>
      <c r="F74">
        <v>0.13800000000000001</v>
      </c>
      <c r="G74">
        <v>20766</v>
      </c>
      <c r="H74" t="s">
        <v>16</v>
      </c>
      <c r="I74">
        <v>300</v>
      </c>
      <c r="J74">
        <v>533</v>
      </c>
      <c r="K74">
        <v>6.93E-2</v>
      </c>
      <c r="L74">
        <v>9</v>
      </c>
      <c r="M74">
        <v>7</v>
      </c>
      <c r="N74" t="s">
        <v>83</v>
      </c>
    </row>
    <row r="75" spans="1:14">
      <c r="A75">
        <v>1985</v>
      </c>
      <c r="B75" t="s">
        <v>20</v>
      </c>
      <c r="C75" t="s">
        <v>25</v>
      </c>
      <c r="D75" s="2">
        <v>0.13</v>
      </c>
      <c r="E75" t="s">
        <v>16</v>
      </c>
      <c r="F75" t="s">
        <v>16</v>
      </c>
      <c r="G75" t="s">
        <v>16</v>
      </c>
      <c r="H75" t="s">
        <v>16</v>
      </c>
      <c r="I75" t="s">
        <v>16</v>
      </c>
      <c r="J75">
        <v>13</v>
      </c>
      <c r="K75">
        <v>6.93E-2</v>
      </c>
      <c r="L75">
        <v>36</v>
      </c>
      <c r="M75">
        <v>34</v>
      </c>
      <c r="N75" t="s">
        <v>79</v>
      </c>
    </row>
    <row r="76" spans="1:14">
      <c r="A76">
        <v>1985</v>
      </c>
      <c r="B76" t="s">
        <v>20</v>
      </c>
      <c r="C76" t="s">
        <v>15</v>
      </c>
      <c r="D76" s="2">
        <v>0.128</v>
      </c>
      <c r="E76" t="s">
        <v>16</v>
      </c>
      <c r="F76">
        <v>0.125</v>
      </c>
      <c r="G76" t="s">
        <v>16</v>
      </c>
      <c r="H76">
        <v>0.13150000000000001</v>
      </c>
      <c r="I76" t="s">
        <v>16</v>
      </c>
      <c r="J76">
        <v>191</v>
      </c>
      <c r="K76">
        <v>6.93E-2</v>
      </c>
      <c r="L76">
        <v>34</v>
      </c>
      <c r="M76">
        <v>30</v>
      </c>
      <c r="N76" t="s">
        <v>84</v>
      </c>
    </row>
    <row r="77" spans="1:14">
      <c r="A77">
        <v>1985</v>
      </c>
      <c r="B77" t="s">
        <v>20</v>
      </c>
      <c r="C77" t="s">
        <v>18</v>
      </c>
      <c r="D77" s="2">
        <v>0.12</v>
      </c>
      <c r="E77" t="s">
        <v>16</v>
      </c>
      <c r="F77">
        <v>0.111</v>
      </c>
      <c r="G77" t="s">
        <v>16</v>
      </c>
      <c r="H77">
        <v>0.109</v>
      </c>
      <c r="I77" t="s">
        <v>16</v>
      </c>
      <c r="J77">
        <v>201</v>
      </c>
      <c r="K77">
        <v>6.93E-2</v>
      </c>
      <c r="L77">
        <v>36</v>
      </c>
      <c r="M77">
        <v>32</v>
      </c>
      <c r="N77" t="s">
        <v>85</v>
      </c>
    </row>
    <row r="78" spans="1:14">
      <c r="A78">
        <v>1985</v>
      </c>
      <c r="B78" t="s">
        <v>20</v>
      </c>
      <c r="C78" t="s">
        <v>28</v>
      </c>
      <c r="D78" s="2">
        <v>0.12</v>
      </c>
      <c r="E78" t="s">
        <v>16</v>
      </c>
      <c r="F78">
        <v>0.11</v>
      </c>
      <c r="G78" t="s">
        <v>16</v>
      </c>
      <c r="H78">
        <v>0.1085</v>
      </c>
      <c r="I78" t="s">
        <v>16</v>
      </c>
      <c r="J78">
        <v>593</v>
      </c>
      <c r="K78">
        <v>6.93E-2</v>
      </c>
      <c r="L78">
        <v>36</v>
      </c>
      <c r="M78">
        <v>32</v>
      </c>
      <c r="N78" t="s">
        <v>79</v>
      </c>
    </row>
    <row r="79" spans="1:14">
      <c r="A79">
        <v>1985</v>
      </c>
      <c r="B79" t="s">
        <v>20</v>
      </c>
      <c r="C79" t="s">
        <v>43</v>
      </c>
      <c r="D79" s="2">
        <v>0.1275</v>
      </c>
      <c r="E79" t="s">
        <v>16</v>
      </c>
      <c r="F79">
        <v>0.11799999999999999</v>
      </c>
      <c r="G79" t="s">
        <v>16</v>
      </c>
      <c r="H79">
        <v>0.123</v>
      </c>
      <c r="I79" t="s">
        <v>16</v>
      </c>
      <c r="J79">
        <v>561</v>
      </c>
      <c r="K79">
        <v>6.93E-2</v>
      </c>
      <c r="L79">
        <v>59</v>
      </c>
      <c r="M79">
        <v>56</v>
      </c>
      <c r="N79" t="s">
        <v>86</v>
      </c>
    </row>
    <row r="80" spans="1:14">
      <c r="A80">
        <v>1986</v>
      </c>
      <c r="B80" t="s">
        <v>14</v>
      </c>
      <c r="C80" t="s">
        <v>18</v>
      </c>
      <c r="D80" s="2">
        <v>0.13600000000000001</v>
      </c>
      <c r="E80">
        <v>21714</v>
      </c>
      <c r="F80">
        <v>0.13200000000000001</v>
      </c>
      <c r="G80">
        <v>117825</v>
      </c>
      <c r="H80" t="s">
        <v>16</v>
      </c>
      <c r="I80" t="s">
        <v>16</v>
      </c>
      <c r="J80">
        <v>452</v>
      </c>
      <c r="K80">
        <v>7.0000000000000007E-2</v>
      </c>
      <c r="L80">
        <v>4</v>
      </c>
      <c r="M80">
        <v>0</v>
      </c>
      <c r="N80" t="s">
        <v>87</v>
      </c>
    </row>
    <row r="81" spans="1:14">
      <c r="A81">
        <v>1986</v>
      </c>
      <c r="B81" t="s">
        <v>20</v>
      </c>
      <c r="C81" t="s">
        <v>21</v>
      </c>
      <c r="D81" s="2">
        <v>0.1275</v>
      </c>
      <c r="E81" t="s">
        <v>16</v>
      </c>
      <c r="F81">
        <v>0.1195</v>
      </c>
      <c r="G81" t="s">
        <v>16</v>
      </c>
      <c r="H81">
        <v>0.122</v>
      </c>
      <c r="I81" t="s">
        <v>16</v>
      </c>
      <c r="J81">
        <v>101</v>
      </c>
      <c r="K81">
        <v>7.0000000000000007E-2</v>
      </c>
      <c r="L81">
        <v>50</v>
      </c>
      <c r="M81">
        <v>47</v>
      </c>
      <c r="N81" t="s">
        <v>88</v>
      </c>
    </row>
    <row r="82" spans="1:14">
      <c r="A82">
        <v>1986</v>
      </c>
      <c r="B82" t="s">
        <v>20</v>
      </c>
      <c r="C82" t="s">
        <v>25</v>
      </c>
      <c r="D82" s="2">
        <v>0.1275</v>
      </c>
      <c r="E82" t="s">
        <v>16</v>
      </c>
      <c r="F82">
        <v>0.1205</v>
      </c>
      <c r="G82" t="s">
        <v>16</v>
      </c>
      <c r="H82">
        <v>0.123</v>
      </c>
      <c r="I82" t="s">
        <v>16</v>
      </c>
      <c r="J82">
        <v>391</v>
      </c>
      <c r="K82">
        <v>7.0000000000000007E-2</v>
      </c>
      <c r="L82">
        <v>51</v>
      </c>
      <c r="M82">
        <v>50</v>
      </c>
      <c r="N82" t="s">
        <v>89</v>
      </c>
    </row>
    <row r="83" spans="1:14">
      <c r="A83">
        <v>1986</v>
      </c>
      <c r="B83" t="s">
        <v>20</v>
      </c>
      <c r="C83" t="s">
        <v>25</v>
      </c>
      <c r="D83" s="2">
        <v>0.13150000000000001</v>
      </c>
      <c r="E83" t="s">
        <v>16</v>
      </c>
      <c r="F83">
        <v>0.1215</v>
      </c>
      <c r="G83" t="s">
        <v>16</v>
      </c>
      <c r="H83">
        <v>0.1265</v>
      </c>
      <c r="I83" t="s">
        <v>16</v>
      </c>
      <c r="J83">
        <v>393</v>
      </c>
      <c r="K83">
        <v>7.0000000000000007E-2</v>
      </c>
      <c r="L83">
        <v>51</v>
      </c>
      <c r="M83">
        <v>50</v>
      </c>
      <c r="N83" t="s">
        <v>90</v>
      </c>
    </row>
    <row r="84" spans="1:14">
      <c r="A84">
        <v>1986</v>
      </c>
      <c r="B84" t="s">
        <v>14</v>
      </c>
      <c r="C84" t="s">
        <v>18</v>
      </c>
      <c r="D84" s="2">
        <v>0.14199999999999999</v>
      </c>
      <c r="E84">
        <v>65061</v>
      </c>
      <c r="F84">
        <v>0.14199999999999999</v>
      </c>
      <c r="G84">
        <v>52448</v>
      </c>
      <c r="H84" t="s">
        <v>16</v>
      </c>
      <c r="I84" t="s">
        <v>16</v>
      </c>
      <c r="J84">
        <v>91</v>
      </c>
      <c r="K84">
        <v>7.0000000000000007E-2</v>
      </c>
      <c r="L84">
        <v>14</v>
      </c>
      <c r="M84">
        <v>11</v>
      </c>
      <c r="N84" t="s">
        <v>91</v>
      </c>
    </row>
    <row r="85" spans="1:14">
      <c r="A85">
        <v>1986</v>
      </c>
      <c r="B85" t="s">
        <v>14</v>
      </c>
      <c r="C85" t="s">
        <v>15</v>
      </c>
      <c r="D85" s="2">
        <v>0.13900000000000001</v>
      </c>
      <c r="E85">
        <v>49476</v>
      </c>
      <c r="F85">
        <v>0.13900000000000001</v>
      </c>
      <c r="G85">
        <v>281130</v>
      </c>
      <c r="H85">
        <v>0.13900000000000001</v>
      </c>
      <c r="I85">
        <v>413383</v>
      </c>
      <c r="J85">
        <v>134</v>
      </c>
      <c r="K85">
        <v>7.0000000000000007E-2</v>
      </c>
      <c r="L85">
        <v>3</v>
      </c>
      <c r="M85">
        <v>1</v>
      </c>
      <c r="N85" t="s">
        <v>92</v>
      </c>
    </row>
    <row r="86" spans="1:14">
      <c r="A86">
        <v>1986</v>
      </c>
      <c r="B86" t="s">
        <v>14</v>
      </c>
      <c r="C86" t="s">
        <v>18</v>
      </c>
      <c r="D86" s="2">
        <v>0.1474</v>
      </c>
      <c r="E86">
        <v>14040</v>
      </c>
      <c r="F86">
        <v>0.13739999999999999</v>
      </c>
      <c r="G86">
        <v>35981</v>
      </c>
      <c r="H86">
        <v>0.1424</v>
      </c>
      <c r="I86">
        <v>106268</v>
      </c>
      <c r="J86">
        <v>176</v>
      </c>
      <c r="K86">
        <v>7.0000000000000007E-2</v>
      </c>
      <c r="L86">
        <v>7</v>
      </c>
      <c r="M86">
        <v>4</v>
      </c>
      <c r="N86" t="s">
        <v>93</v>
      </c>
    </row>
    <row r="87" spans="1:14">
      <c r="A87">
        <v>1986</v>
      </c>
      <c r="B87" t="s">
        <v>14</v>
      </c>
      <c r="C87" t="s">
        <v>18</v>
      </c>
      <c r="D87" s="2" t="s">
        <v>16</v>
      </c>
      <c r="E87" t="s">
        <v>16</v>
      </c>
      <c r="F87">
        <v>0.13489999999999999</v>
      </c>
      <c r="G87">
        <v>187771</v>
      </c>
      <c r="H87">
        <v>0.13489999999999999</v>
      </c>
      <c r="I87">
        <v>983621</v>
      </c>
      <c r="J87">
        <v>291</v>
      </c>
      <c r="K87">
        <v>7.0000000000000007E-2</v>
      </c>
      <c r="L87">
        <v>15</v>
      </c>
      <c r="M87">
        <v>11</v>
      </c>
      <c r="N87" t="s">
        <v>94</v>
      </c>
    </row>
    <row r="88" spans="1:14">
      <c r="A88">
        <v>1986</v>
      </c>
      <c r="B88" t="s">
        <v>14</v>
      </c>
      <c r="C88" t="s">
        <v>15</v>
      </c>
      <c r="D88" s="2" t="s">
        <v>16</v>
      </c>
      <c r="E88">
        <v>25</v>
      </c>
      <c r="F88">
        <v>0.14299999999999999</v>
      </c>
      <c r="G88">
        <v>23683</v>
      </c>
      <c r="H88" t="s">
        <v>16</v>
      </c>
      <c r="I88">
        <v>300</v>
      </c>
      <c r="J88">
        <v>533</v>
      </c>
      <c r="K88">
        <v>7.0000000000000007E-2</v>
      </c>
      <c r="L88">
        <v>9</v>
      </c>
      <c r="M88">
        <v>7</v>
      </c>
      <c r="N88" t="s">
        <v>95</v>
      </c>
    </row>
    <row r="89" spans="1:14">
      <c r="A89">
        <v>1986</v>
      </c>
      <c r="B89" t="s">
        <v>20</v>
      </c>
      <c r="C89" t="s">
        <v>55</v>
      </c>
      <c r="D89" s="2">
        <v>0.1225</v>
      </c>
      <c r="E89" t="s">
        <v>16</v>
      </c>
      <c r="F89">
        <v>0.1125</v>
      </c>
      <c r="G89" t="s">
        <v>16</v>
      </c>
      <c r="H89">
        <v>0.1125</v>
      </c>
      <c r="I89" t="s">
        <v>16</v>
      </c>
      <c r="J89">
        <v>171</v>
      </c>
      <c r="K89">
        <v>7.0000000000000007E-2</v>
      </c>
      <c r="L89">
        <v>64</v>
      </c>
      <c r="M89">
        <v>62</v>
      </c>
      <c r="N89" t="s">
        <v>96</v>
      </c>
    </row>
    <row r="90" spans="1:14">
      <c r="A90">
        <v>1986</v>
      </c>
      <c r="B90" t="s">
        <v>20</v>
      </c>
      <c r="C90" t="s">
        <v>15</v>
      </c>
      <c r="D90" s="2">
        <v>0.13500000000000001</v>
      </c>
      <c r="E90" t="s">
        <v>16</v>
      </c>
      <c r="F90">
        <v>0.125</v>
      </c>
      <c r="G90" t="s">
        <v>16</v>
      </c>
      <c r="H90">
        <v>0.13150000000000001</v>
      </c>
      <c r="I90" t="s">
        <v>16</v>
      </c>
      <c r="J90">
        <v>191</v>
      </c>
      <c r="K90">
        <v>7.0000000000000007E-2</v>
      </c>
      <c r="L90">
        <v>34</v>
      </c>
      <c r="M90">
        <v>30</v>
      </c>
      <c r="N90" t="s">
        <v>97</v>
      </c>
    </row>
    <row r="91" spans="1:14">
      <c r="A91">
        <v>1986</v>
      </c>
      <c r="B91" t="s">
        <v>20</v>
      </c>
      <c r="C91" t="s">
        <v>18</v>
      </c>
      <c r="D91" s="2">
        <v>0.12239999999999999</v>
      </c>
      <c r="E91" t="s">
        <v>16</v>
      </c>
      <c r="F91">
        <v>0.1124</v>
      </c>
      <c r="G91" t="s">
        <v>16</v>
      </c>
      <c r="H91">
        <v>0.111</v>
      </c>
      <c r="I91" t="s">
        <v>16</v>
      </c>
      <c r="J91">
        <v>201</v>
      </c>
      <c r="K91">
        <v>7.0000000000000007E-2</v>
      </c>
      <c r="L91">
        <v>36</v>
      </c>
      <c r="M91">
        <v>32</v>
      </c>
      <c r="N91" t="s">
        <v>92</v>
      </c>
    </row>
    <row r="92" spans="1:14">
      <c r="A92">
        <v>1986</v>
      </c>
      <c r="B92" t="s">
        <v>20</v>
      </c>
      <c r="C92" t="s">
        <v>28</v>
      </c>
      <c r="D92" s="2">
        <v>0.11700000000000001</v>
      </c>
      <c r="E92" t="s">
        <v>16</v>
      </c>
      <c r="F92">
        <v>0.11</v>
      </c>
      <c r="G92" t="s">
        <v>16</v>
      </c>
      <c r="H92">
        <v>0.1085</v>
      </c>
      <c r="I92" t="s">
        <v>16</v>
      </c>
      <c r="J92">
        <v>593</v>
      </c>
      <c r="K92">
        <v>7.0000000000000007E-2</v>
      </c>
      <c r="L92">
        <v>36</v>
      </c>
      <c r="M92">
        <v>32</v>
      </c>
      <c r="N92" t="s">
        <v>98</v>
      </c>
    </row>
    <row r="93" spans="1:14">
      <c r="A93">
        <v>1986</v>
      </c>
      <c r="B93" t="s">
        <v>20</v>
      </c>
      <c r="C93" t="s">
        <v>18</v>
      </c>
      <c r="D93" s="2" t="s">
        <v>16</v>
      </c>
      <c r="E93" t="s">
        <v>16</v>
      </c>
      <c r="F93">
        <v>0.111</v>
      </c>
      <c r="G93" t="s">
        <v>16</v>
      </c>
      <c r="H93">
        <v>0.111</v>
      </c>
      <c r="I93" t="s">
        <v>16</v>
      </c>
      <c r="J93">
        <v>241</v>
      </c>
      <c r="K93">
        <v>7.0000000000000007E-2</v>
      </c>
      <c r="L93">
        <v>54</v>
      </c>
      <c r="M93">
        <v>51</v>
      </c>
      <c r="N93" t="s">
        <v>99</v>
      </c>
    </row>
    <row r="94" spans="1:14">
      <c r="A94">
        <v>1986</v>
      </c>
      <c r="B94" t="s">
        <v>20</v>
      </c>
      <c r="C94" t="s">
        <v>25</v>
      </c>
      <c r="D94" s="2">
        <v>0.13350000000000001</v>
      </c>
      <c r="E94" t="s">
        <v>16</v>
      </c>
      <c r="F94">
        <v>0.1235</v>
      </c>
      <c r="G94" t="s">
        <v>16</v>
      </c>
      <c r="H94" t="s">
        <v>16</v>
      </c>
      <c r="I94" t="s">
        <v>16</v>
      </c>
      <c r="J94">
        <v>335</v>
      </c>
      <c r="K94">
        <v>7.0000000000000007E-2</v>
      </c>
      <c r="L94">
        <v>72</v>
      </c>
      <c r="M94">
        <v>72</v>
      </c>
      <c r="N94" t="s">
        <v>98</v>
      </c>
    </row>
    <row r="95" spans="1:14">
      <c r="A95">
        <v>1986</v>
      </c>
      <c r="B95" t="s">
        <v>20</v>
      </c>
      <c r="C95" t="s">
        <v>100</v>
      </c>
      <c r="D95" s="2">
        <v>0.11650000000000001</v>
      </c>
      <c r="E95" t="s">
        <v>16</v>
      </c>
      <c r="F95">
        <v>0.1065</v>
      </c>
      <c r="G95" t="s">
        <v>16</v>
      </c>
      <c r="H95">
        <v>0.1075</v>
      </c>
      <c r="I95" t="s">
        <v>16</v>
      </c>
      <c r="J95">
        <v>435</v>
      </c>
      <c r="K95">
        <v>7.0000000000000007E-2</v>
      </c>
      <c r="L95">
        <v>81</v>
      </c>
      <c r="M95">
        <v>78</v>
      </c>
      <c r="N95" t="s">
        <v>101</v>
      </c>
    </row>
    <row r="96" spans="1:14">
      <c r="A96">
        <v>1986</v>
      </c>
      <c r="B96" t="s">
        <v>20</v>
      </c>
      <c r="C96" t="s">
        <v>25</v>
      </c>
      <c r="D96" s="2">
        <v>0.12</v>
      </c>
      <c r="E96" t="s">
        <v>16</v>
      </c>
      <c r="F96">
        <v>0.124</v>
      </c>
      <c r="G96" t="s">
        <v>16</v>
      </c>
      <c r="H96">
        <v>0.107</v>
      </c>
      <c r="I96" t="s">
        <v>16</v>
      </c>
      <c r="J96">
        <v>441</v>
      </c>
      <c r="K96">
        <v>7.0000000000000007E-2</v>
      </c>
      <c r="L96">
        <v>107</v>
      </c>
      <c r="M96">
        <v>105</v>
      </c>
      <c r="N96" t="s">
        <v>102</v>
      </c>
    </row>
    <row r="97" spans="1:14">
      <c r="A97">
        <v>1986</v>
      </c>
      <c r="B97" t="s">
        <v>20</v>
      </c>
      <c r="C97" t="s">
        <v>28</v>
      </c>
      <c r="D97" s="2">
        <v>0.1195</v>
      </c>
      <c r="E97" t="s">
        <v>16</v>
      </c>
      <c r="F97" t="s">
        <v>16</v>
      </c>
      <c r="G97" t="s">
        <v>16</v>
      </c>
      <c r="H97">
        <v>0.1085</v>
      </c>
      <c r="I97" t="s">
        <v>16</v>
      </c>
      <c r="J97">
        <v>455</v>
      </c>
      <c r="K97">
        <v>7.0000000000000007E-2</v>
      </c>
      <c r="L97">
        <v>63</v>
      </c>
      <c r="M97">
        <v>60</v>
      </c>
      <c r="N97" t="s">
        <v>95</v>
      </c>
    </row>
    <row r="98" spans="1:14">
      <c r="A98">
        <v>1986</v>
      </c>
      <c r="B98" t="s">
        <v>20</v>
      </c>
      <c r="C98" t="s">
        <v>18</v>
      </c>
      <c r="D98" s="2">
        <v>0.125</v>
      </c>
      <c r="E98" t="s">
        <v>16</v>
      </c>
      <c r="F98">
        <v>0.1125</v>
      </c>
      <c r="G98" t="s">
        <v>16</v>
      </c>
      <c r="H98">
        <v>0.1115</v>
      </c>
      <c r="I98" t="s">
        <v>16</v>
      </c>
      <c r="J98">
        <v>471</v>
      </c>
      <c r="K98">
        <v>7.0000000000000007E-2</v>
      </c>
      <c r="L98">
        <v>48</v>
      </c>
      <c r="M98">
        <v>44</v>
      </c>
      <c r="N98" t="s">
        <v>95</v>
      </c>
    </row>
    <row r="99" spans="1:14">
      <c r="A99">
        <v>1986</v>
      </c>
      <c r="B99" t="s">
        <v>20</v>
      </c>
      <c r="C99" t="s">
        <v>103</v>
      </c>
      <c r="D99" s="2">
        <v>0.13300000000000001</v>
      </c>
      <c r="E99" t="s">
        <v>16</v>
      </c>
      <c r="F99">
        <v>0.124</v>
      </c>
      <c r="G99" t="s">
        <v>16</v>
      </c>
      <c r="H99">
        <v>0.128</v>
      </c>
      <c r="I99" t="s">
        <v>16</v>
      </c>
      <c r="J99">
        <v>481</v>
      </c>
      <c r="K99">
        <v>7.0000000000000007E-2</v>
      </c>
      <c r="L99">
        <v>34</v>
      </c>
      <c r="M99">
        <v>31</v>
      </c>
      <c r="N99" t="s">
        <v>97</v>
      </c>
    </row>
    <row r="100" spans="1:14">
      <c r="A100">
        <v>1986</v>
      </c>
      <c r="B100" t="s">
        <v>20</v>
      </c>
      <c r="C100" t="s">
        <v>100</v>
      </c>
      <c r="D100" s="2">
        <v>0.1249</v>
      </c>
      <c r="E100" t="s">
        <v>16</v>
      </c>
      <c r="F100">
        <v>0.11899999999999999</v>
      </c>
      <c r="G100" t="s">
        <v>16</v>
      </c>
      <c r="H100">
        <v>0.11899999999999999</v>
      </c>
      <c r="I100" t="s">
        <v>16</v>
      </c>
      <c r="J100">
        <v>495</v>
      </c>
      <c r="K100">
        <v>7.0000000000000007E-2</v>
      </c>
      <c r="L100">
        <v>96</v>
      </c>
      <c r="M100">
        <v>93</v>
      </c>
      <c r="N100" t="s">
        <v>98</v>
      </c>
    </row>
    <row r="101" spans="1:14">
      <c r="A101">
        <v>1986</v>
      </c>
      <c r="B101" t="s">
        <v>14</v>
      </c>
      <c r="C101" t="s">
        <v>18</v>
      </c>
      <c r="D101" s="2">
        <v>0.14749999999999999</v>
      </c>
      <c r="E101">
        <v>21502</v>
      </c>
      <c r="F101">
        <v>0.14749999999999999</v>
      </c>
      <c r="G101">
        <v>3813</v>
      </c>
      <c r="H101" t="s">
        <v>16</v>
      </c>
      <c r="I101" t="s">
        <v>16</v>
      </c>
      <c r="J101">
        <v>26</v>
      </c>
      <c r="K101">
        <v>7.0099999999999996E-2</v>
      </c>
      <c r="L101">
        <v>6</v>
      </c>
      <c r="M101">
        <v>2</v>
      </c>
      <c r="N101" t="s">
        <v>104</v>
      </c>
    </row>
    <row r="102" spans="1:14">
      <c r="A102">
        <v>1986</v>
      </c>
      <c r="B102" t="s">
        <v>14</v>
      </c>
      <c r="C102" t="s">
        <v>18</v>
      </c>
      <c r="D102" s="2">
        <v>0.1469</v>
      </c>
      <c r="E102">
        <v>9644</v>
      </c>
      <c r="F102">
        <v>0.13689999999999999</v>
      </c>
      <c r="G102">
        <v>9602</v>
      </c>
      <c r="H102" t="s">
        <v>16</v>
      </c>
      <c r="I102" t="s">
        <v>16</v>
      </c>
      <c r="J102">
        <v>32</v>
      </c>
      <c r="K102">
        <v>7.0099999999999996E-2</v>
      </c>
      <c r="L102">
        <v>4</v>
      </c>
      <c r="M102">
        <v>2</v>
      </c>
      <c r="N102" t="s">
        <v>105</v>
      </c>
    </row>
    <row r="103" spans="1:14">
      <c r="A103">
        <v>1986</v>
      </c>
      <c r="B103" t="s">
        <v>14</v>
      </c>
      <c r="C103" t="s">
        <v>15</v>
      </c>
      <c r="D103" s="2">
        <v>0.14399999999999999</v>
      </c>
      <c r="E103">
        <v>97891</v>
      </c>
      <c r="F103">
        <v>0.13400000000000001</v>
      </c>
      <c r="G103">
        <v>77883</v>
      </c>
      <c r="H103">
        <v>0.13950000000000001</v>
      </c>
      <c r="I103">
        <v>638983</v>
      </c>
      <c r="J103">
        <v>35</v>
      </c>
      <c r="K103">
        <v>7.0099999999999996E-2</v>
      </c>
      <c r="L103">
        <v>16</v>
      </c>
      <c r="M103">
        <v>13</v>
      </c>
      <c r="N103" t="s">
        <v>106</v>
      </c>
    </row>
    <row r="104" spans="1:14">
      <c r="A104">
        <v>1986</v>
      </c>
      <c r="B104" t="s">
        <v>14</v>
      </c>
      <c r="C104" t="s">
        <v>15</v>
      </c>
      <c r="D104" s="2">
        <v>0.14699999999999999</v>
      </c>
      <c r="E104">
        <v>20528</v>
      </c>
      <c r="F104">
        <v>0.13700000000000001</v>
      </c>
      <c r="G104">
        <v>29114</v>
      </c>
      <c r="H104">
        <v>0.14199999999999999</v>
      </c>
      <c r="I104">
        <v>203112</v>
      </c>
      <c r="J104">
        <v>147</v>
      </c>
      <c r="K104">
        <v>7.0099999999999996E-2</v>
      </c>
      <c r="L104">
        <v>2</v>
      </c>
      <c r="M104">
        <v>2</v>
      </c>
      <c r="N104" t="s">
        <v>104</v>
      </c>
    </row>
    <row r="105" spans="1:14">
      <c r="A105">
        <v>1986</v>
      </c>
      <c r="B105" t="s">
        <v>14</v>
      </c>
      <c r="C105" t="s">
        <v>15</v>
      </c>
      <c r="D105" s="2" t="s">
        <v>16</v>
      </c>
      <c r="E105">
        <v>300</v>
      </c>
      <c r="F105">
        <v>0.13800000000000001</v>
      </c>
      <c r="G105">
        <v>29198</v>
      </c>
      <c r="H105" t="s">
        <v>16</v>
      </c>
      <c r="I105">
        <v>10684</v>
      </c>
      <c r="J105">
        <v>157</v>
      </c>
      <c r="K105">
        <v>7.0099999999999996E-2</v>
      </c>
      <c r="L105">
        <v>12</v>
      </c>
      <c r="M105">
        <v>8</v>
      </c>
      <c r="N105" t="s">
        <v>107</v>
      </c>
    </row>
    <row r="106" spans="1:14">
      <c r="A106">
        <v>1986</v>
      </c>
      <c r="B106" t="s">
        <v>14</v>
      </c>
      <c r="C106" t="s">
        <v>15</v>
      </c>
      <c r="D106" s="2">
        <v>0.15049999999999999</v>
      </c>
      <c r="E106">
        <v>12167</v>
      </c>
      <c r="F106">
        <v>0.15049999999999999</v>
      </c>
      <c r="G106">
        <v>13765</v>
      </c>
      <c r="H106">
        <v>0.15049999999999999</v>
      </c>
      <c r="I106">
        <v>96536</v>
      </c>
      <c r="J106">
        <v>354</v>
      </c>
      <c r="K106">
        <v>7.0099999999999996E-2</v>
      </c>
      <c r="L106">
        <v>5</v>
      </c>
      <c r="M106">
        <v>3</v>
      </c>
      <c r="N106" t="s">
        <v>108</v>
      </c>
    </row>
    <row r="107" spans="1:14">
      <c r="A107">
        <v>1986</v>
      </c>
      <c r="B107" t="s">
        <v>14</v>
      </c>
      <c r="C107" t="s">
        <v>18</v>
      </c>
      <c r="D107" s="2">
        <v>0.14599999999999999</v>
      </c>
      <c r="E107">
        <v>34351</v>
      </c>
      <c r="F107">
        <v>0.13600000000000001</v>
      </c>
      <c r="G107">
        <v>21360</v>
      </c>
      <c r="H107" t="s">
        <v>16</v>
      </c>
      <c r="I107" t="s">
        <v>16</v>
      </c>
      <c r="J107">
        <v>567</v>
      </c>
      <c r="K107">
        <v>7.0099999999999996E-2</v>
      </c>
      <c r="L107">
        <v>23</v>
      </c>
      <c r="M107">
        <v>19</v>
      </c>
      <c r="N107" t="s">
        <v>109</v>
      </c>
    </row>
    <row r="108" spans="1:14">
      <c r="A108">
        <v>1986</v>
      </c>
      <c r="B108" t="s">
        <v>20</v>
      </c>
      <c r="C108" t="s">
        <v>25</v>
      </c>
      <c r="D108" s="2">
        <v>0.13250000000000001</v>
      </c>
      <c r="E108" t="s">
        <v>16</v>
      </c>
      <c r="F108" t="s">
        <v>16</v>
      </c>
      <c r="G108" t="s">
        <v>16</v>
      </c>
      <c r="H108" t="s">
        <v>16</v>
      </c>
      <c r="I108" t="s">
        <v>16</v>
      </c>
      <c r="J108">
        <v>13</v>
      </c>
      <c r="K108">
        <v>7.0099999999999996E-2</v>
      </c>
      <c r="L108">
        <v>36</v>
      </c>
      <c r="M108">
        <v>34</v>
      </c>
      <c r="N108" t="s">
        <v>104</v>
      </c>
    </row>
    <row r="109" spans="1:14">
      <c r="A109">
        <v>1986</v>
      </c>
      <c r="B109" t="s">
        <v>20</v>
      </c>
      <c r="C109" t="s">
        <v>18</v>
      </c>
      <c r="D109" s="2">
        <v>0.13300000000000001</v>
      </c>
      <c r="E109" t="s">
        <v>16</v>
      </c>
      <c r="F109">
        <v>0.124</v>
      </c>
      <c r="G109" t="s">
        <v>16</v>
      </c>
      <c r="H109">
        <v>0.129</v>
      </c>
      <c r="I109" t="s">
        <v>16</v>
      </c>
      <c r="J109">
        <v>55</v>
      </c>
      <c r="K109">
        <v>7.0099999999999996E-2</v>
      </c>
      <c r="L109">
        <v>39</v>
      </c>
      <c r="M109">
        <v>37</v>
      </c>
      <c r="N109" t="s">
        <v>110</v>
      </c>
    </row>
    <row r="110" spans="1:14">
      <c r="A110">
        <v>1986</v>
      </c>
      <c r="B110" t="s">
        <v>20</v>
      </c>
      <c r="C110" t="s">
        <v>25</v>
      </c>
      <c r="D110" s="2">
        <v>0.13</v>
      </c>
      <c r="E110" t="s">
        <v>16</v>
      </c>
      <c r="F110">
        <v>0.1275</v>
      </c>
      <c r="G110" t="s">
        <v>16</v>
      </c>
      <c r="H110">
        <v>0.1275</v>
      </c>
      <c r="I110" t="s">
        <v>16</v>
      </c>
      <c r="J110">
        <v>505</v>
      </c>
      <c r="K110">
        <v>7.0099999999999996E-2</v>
      </c>
      <c r="L110">
        <v>49</v>
      </c>
      <c r="M110">
        <v>46</v>
      </c>
      <c r="N110" t="s">
        <v>106</v>
      </c>
    </row>
    <row r="111" spans="1:14">
      <c r="A111">
        <v>1986</v>
      </c>
      <c r="B111" t="s">
        <v>20</v>
      </c>
      <c r="C111" t="s">
        <v>43</v>
      </c>
      <c r="D111" s="2">
        <v>0.12</v>
      </c>
      <c r="E111" t="s">
        <v>16</v>
      </c>
      <c r="F111">
        <v>0.11</v>
      </c>
      <c r="G111" t="s">
        <v>16</v>
      </c>
      <c r="H111">
        <v>0.115</v>
      </c>
      <c r="I111" t="s">
        <v>16</v>
      </c>
      <c r="J111">
        <v>561</v>
      </c>
      <c r="K111">
        <v>7.0099999999999996E-2</v>
      </c>
      <c r="L111">
        <v>59</v>
      </c>
      <c r="M111">
        <v>56</v>
      </c>
      <c r="N111" t="s">
        <v>107</v>
      </c>
    </row>
    <row r="112" spans="1:14">
      <c r="A112">
        <v>1987</v>
      </c>
      <c r="B112" t="s">
        <v>14</v>
      </c>
      <c r="C112" t="s">
        <v>15</v>
      </c>
      <c r="D112" s="2">
        <v>0.14749999999999999</v>
      </c>
      <c r="E112">
        <v>54786</v>
      </c>
      <c r="F112">
        <v>0.13750000000000001</v>
      </c>
      <c r="G112">
        <v>311306</v>
      </c>
      <c r="H112">
        <v>0.14249999999999999</v>
      </c>
      <c r="I112">
        <v>457755</v>
      </c>
      <c r="J112">
        <v>134</v>
      </c>
      <c r="K112">
        <v>7.0300000000000001E-2</v>
      </c>
      <c r="L112">
        <v>3</v>
      </c>
      <c r="M112">
        <v>1</v>
      </c>
      <c r="N112" t="s">
        <v>111</v>
      </c>
    </row>
    <row r="113" spans="1:14">
      <c r="A113">
        <v>1987</v>
      </c>
      <c r="B113" t="s">
        <v>20</v>
      </c>
      <c r="C113" t="s">
        <v>112</v>
      </c>
      <c r="D113" s="2">
        <v>0.125</v>
      </c>
      <c r="E113" t="s">
        <v>16</v>
      </c>
      <c r="F113">
        <v>0.113</v>
      </c>
      <c r="G113" t="s">
        <v>16</v>
      </c>
      <c r="H113">
        <v>0.11799999999999999</v>
      </c>
      <c r="I113" t="s">
        <v>16</v>
      </c>
      <c r="J113">
        <v>101</v>
      </c>
      <c r="K113">
        <v>7.0300000000000001E-2</v>
      </c>
      <c r="L113">
        <v>50</v>
      </c>
      <c r="M113">
        <v>47</v>
      </c>
      <c r="N113" t="s">
        <v>113</v>
      </c>
    </row>
    <row r="114" spans="1:14">
      <c r="A114">
        <v>1987</v>
      </c>
      <c r="B114" t="s">
        <v>20</v>
      </c>
      <c r="C114" t="s">
        <v>25</v>
      </c>
      <c r="D114" s="2">
        <v>0.13650000000000001</v>
      </c>
      <c r="E114" t="s">
        <v>16</v>
      </c>
      <c r="F114">
        <v>0.1265</v>
      </c>
      <c r="G114" t="s">
        <v>16</v>
      </c>
      <c r="H114">
        <v>0.13150000000000001</v>
      </c>
      <c r="I114" t="s">
        <v>16</v>
      </c>
      <c r="J114">
        <v>393</v>
      </c>
      <c r="K114">
        <v>7.0099999999999996E-2</v>
      </c>
      <c r="L114">
        <v>51</v>
      </c>
      <c r="M114">
        <v>50</v>
      </c>
      <c r="N114" t="s">
        <v>114</v>
      </c>
    </row>
    <row r="115" spans="1:14">
      <c r="A115">
        <v>1987</v>
      </c>
      <c r="B115" t="s">
        <v>20</v>
      </c>
      <c r="C115" t="s">
        <v>31</v>
      </c>
      <c r="D115" s="2">
        <v>0.125</v>
      </c>
      <c r="E115" t="s">
        <v>16</v>
      </c>
      <c r="F115">
        <v>0.11899999999999999</v>
      </c>
      <c r="G115" t="s">
        <v>16</v>
      </c>
      <c r="H115">
        <v>0.11899999999999999</v>
      </c>
      <c r="I115" t="s">
        <v>16</v>
      </c>
      <c r="J115">
        <v>441</v>
      </c>
      <c r="K115">
        <v>7.0099999999999996E-2</v>
      </c>
      <c r="L115">
        <v>107</v>
      </c>
      <c r="M115">
        <v>105</v>
      </c>
      <c r="N115" t="s">
        <v>115</v>
      </c>
    </row>
    <row r="116" spans="1:14">
      <c r="A116">
        <v>1987</v>
      </c>
      <c r="B116" t="s">
        <v>14</v>
      </c>
      <c r="C116" t="s">
        <v>15</v>
      </c>
      <c r="D116" s="2">
        <v>0.14749999999999999</v>
      </c>
      <c r="E116">
        <v>77114</v>
      </c>
      <c r="F116">
        <v>0.13750000000000001</v>
      </c>
      <c r="G116">
        <v>107554</v>
      </c>
      <c r="H116">
        <v>0.14249999999999999</v>
      </c>
      <c r="I116">
        <v>925817</v>
      </c>
      <c r="J116">
        <v>35</v>
      </c>
      <c r="K116">
        <v>7.0099999999999996E-2</v>
      </c>
      <c r="L116">
        <v>16</v>
      </c>
      <c r="M116">
        <v>13</v>
      </c>
      <c r="N116" t="s">
        <v>116</v>
      </c>
    </row>
    <row r="117" spans="1:14">
      <c r="A117">
        <v>1987</v>
      </c>
      <c r="B117" t="s">
        <v>14</v>
      </c>
      <c r="C117" t="s">
        <v>18</v>
      </c>
      <c r="D117" s="2">
        <v>0.14949999999999999</v>
      </c>
      <c r="E117">
        <v>60178</v>
      </c>
      <c r="F117">
        <v>0.14949999999999999</v>
      </c>
      <c r="G117">
        <v>55880</v>
      </c>
      <c r="H117" t="s">
        <v>16</v>
      </c>
      <c r="I117" t="s">
        <v>16</v>
      </c>
      <c r="J117">
        <v>91</v>
      </c>
      <c r="K117">
        <v>7.0099999999999996E-2</v>
      </c>
      <c r="L117">
        <v>14</v>
      </c>
      <c r="M117">
        <v>11</v>
      </c>
      <c r="N117" t="s">
        <v>117</v>
      </c>
    </row>
    <row r="118" spans="1:14">
      <c r="A118">
        <v>1987</v>
      </c>
      <c r="B118" t="s">
        <v>14</v>
      </c>
      <c r="C118" t="s">
        <v>15</v>
      </c>
      <c r="D118" s="2" t="s">
        <v>16</v>
      </c>
      <c r="E118" t="s">
        <v>16</v>
      </c>
      <c r="F118">
        <v>0.14050000000000001</v>
      </c>
      <c r="G118">
        <v>21331</v>
      </c>
      <c r="H118" t="s">
        <v>16</v>
      </c>
      <c r="I118" t="s">
        <v>16</v>
      </c>
      <c r="J118">
        <v>157</v>
      </c>
      <c r="K118">
        <v>7.0099999999999996E-2</v>
      </c>
      <c r="L118">
        <v>12</v>
      </c>
      <c r="M118">
        <v>8</v>
      </c>
      <c r="N118" t="s">
        <v>118</v>
      </c>
    </row>
    <row r="119" spans="1:14">
      <c r="A119">
        <v>1987</v>
      </c>
      <c r="B119" t="s">
        <v>14</v>
      </c>
      <c r="C119" t="s">
        <v>18</v>
      </c>
      <c r="D119" s="2">
        <v>0.14949999999999999</v>
      </c>
      <c r="E119">
        <v>12622</v>
      </c>
      <c r="F119">
        <v>0.14050000000000001</v>
      </c>
      <c r="G119">
        <v>32710</v>
      </c>
      <c r="H119">
        <v>0.14549999999999999</v>
      </c>
      <c r="I119">
        <v>104372</v>
      </c>
      <c r="J119">
        <v>176</v>
      </c>
      <c r="K119">
        <v>7.0099999999999996E-2</v>
      </c>
      <c r="L119">
        <v>7</v>
      </c>
      <c r="M119">
        <v>4</v>
      </c>
      <c r="N119" t="s">
        <v>119</v>
      </c>
    </row>
    <row r="120" spans="1:14">
      <c r="A120">
        <v>1987</v>
      </c>
      <c r="B120" t="s">
        <v>14</v>
      </c>
      <c r="C120" t="s">
        <v>18</v>
      </c>
      <c r="D120" s="2">
        <v>0.14949999999999999</v>
      </c>
      <c r="E120">
        <v>33988</v>
      </c>
      <c r="F120">
        <v>0.14050000000000001</v>
      </c>
      <c r="G120">
        <v>186410</v>
      </c>
      <c r="H120">
        <v>0.14050000000000001</v>
      </c>
      <c r="I120">
        <v>976490</v>
      </c>
      <c r="J120">
        <v>291</v>
      </c>
      <c r="K120">
        <v>7.0099999999999996E-2</v>
      </c>
      <c r="L120">
        <v>15</v>
      </c>
      <c r="M120">
        <v>11</v>
      </c>
      <c r="N120" t="s">
        <v>119</v>
      </c>
    </row>
    <row r="121" spans="1:14">
      <c r="A121">
        <v>1987</v>
      </c>
      <c r="B121" t="s">
        <v>14</v>
      </c>
      <c r="C121" t="s">
        <v>18</v>
      </c>
      <c r="D121" s="2">
        <v>0.14749999999999999</v>
      </c>
      <c r="E121">
        <v>20819</v>
      </c>
      <c r="F121">
        <v>0.13750000000000001</v>
      </c>
      <c r="G121">
        <v>112967</v>
      </c>
      <c r="H121" t="s">
        <v>16</v>
      </c>
      <c r="I121" t="s">
        <v>16</v>
      </c>
      <c r="J121">
        <v>452</v>
      </c>
      <c r="K121">
        <v>7.0099999999999996E-2</v>
      </c>
      <c r="L121">
        <v>4</v>
      </c>
      <c r="M121">
        <v>0</v>
      </c>
      <c r="N121" t="s">
        <v>120</v>
      </c>
    </row>
    <row r="122" spans="1:14">
      <c r="A122">
        <v>1987</v>
      </c>
      <c r="B122" t="s">
        <v>14</v>
      </c>
      <c r="C122" t="s">
        <v>15</v>
      </c>
      <c r="D122" s="2">
        <v>0.155</v>
      </c>
      <c r="E122">
        <v>7980</v>
      </c>
      <c r="F122">
        <v>0.14499999999999999</v>
      </c>
      <c r="G122">
        <v>12825</v>
      </c>
      <c r="H122" t="s">
        <v>16</v>
      </c>
      <c r="I122" t="s">
        <v>16</v>
      </c>
      <c r="J122">
        <v>533</v>
      </c>
      <c r="K122">
        <v>7.0099999999999996E-2</v>
      </c>
      <c r="L122">
        <v>9</v>
      </c>
      <c r="M122">
        <v>7</v>
      </c>
      <c r="N122" t="s">
        <v>118</v>
      </c>
    </row>
    <row r="123" spans="1:14">
      <c r="A123">
        <v>1987</v>
      </c>
      <c r="B123" t="s">
        <v>20</v>
      </c>
      <c r="C123" t="s">
        <v>18</v>
      </c>
      <c r="D123" s="2">
        <v>0.13550000000000001</v>
      </c>
      <c r="E123" t="s">
        <v>16</v>
      </c>
      <c r="F123">
        <v>0.1265</v>
      </c>
      <c r="G123" t="s">
        <v>16</v>
      </c>
      <c r="H123">
        <v>0.13150000000000001</v>
      </c>
      <c r="I123" t="s">
        <v>16</v>
      </c>
      <c r="J123">
        <v>55</v>
      </c>
      <c r="K123">
        <v>7.0099999999999996E-2</v>
      </c>
      <c r="L123">
        <v>39</v>
      </c>
      <c r="M123">
        <v>37</v>
      </c>
      <c r="N123" t="s">
        <v>121</v>
      </c>
    </row>
    <row r="124" spans="1:14">
      <c r="A124">
        <v>1987</v>
      </c>
      <c r="B124" t="s">
        <v>20</v>
      </c>
      <c r="C124" t="s">
        <v>55</v>
      </c>
      <c r="D124" s="2">
        <v>0.122</v>
      </c>
      <c r="E124" t="s">
        <v>16</v>
      </c>
      <c r="F124">
        <v>0.1115</v>
      </c>
      <c r="G124" t="s">
        <v>16</v>
      </c>
      <c r="H124">
        <v>0.1115</v>
      </c>
      <c r="I124" t="s">
        <v>16</v>
      </c>
      <c r="J124">
        <v>171</v>
      </c>
      <c r="K124">
        <v>7.0099999999999996E-2</v>
      </c>
      <c r="L124">
        <v>64</v>
      </c>
      <c r="M124">
        <v>62</v>
      </c>
      <c r="N124" t="s">
        <v>117</v>
      </c>
    </row>
    <row r="125" spans="1:14">
      <c r="A125">
        <v>1987</v>
      </c>
      <c r="B125" t="s">
        <v>20</v>
      </c>
      <c r="C125" t="s">
        <v>15</v>
      </c>
      <c r="D125" s="2">
        <v>0.129</v>
      </c>
      <c r="E125" t="s">
        <v>16</v>
      </c>
      <c r="F125">
        <v>0.125</v>
      </c>
      <c r="G125" t="s">
        <v>16</v>
      </c>
      <c r="H125">
        <v>0.13150000000000001</v>
      </c>
      <c r="I125" t="s">
        <v>16</v>
      </c>
      <c r="J125">
        <v>191</v>
      </c>
      <c r="K125">
        <v>7.0099999999999996E-2</v>
      </c>
      <c r="L125">
        <v>34</v>
      </c>
      <c r="M125">
        <v>30</v>
      </c>
      <c r="N125" t="s">
        <v>122</v>
      </c>
    </row>
    <row r="126" spans="1:14">
      <c r="A126">
        <v>1987</v>
      </c>
      <c r="B126" t="s">
        <v>20</v>
      </c>
      <c r="C126" t="s">
        <v>18</v>
      </c>
      <c r="D126" s="2">
        <v>0.122</v>
      </c>
      <c r="E126" t="s">
        <v>16</v>
      </c>
      <c r="F126">
        <v>0.112</v>
      </c>
      <c r="G126" t="s">
        <v>16</v>
      </c>
      <c r="H126">
        <v>0.111</v>
      </c>
      <c r="I126" t="s">
        <v>16</v>
      </c>
      <c r="J126">
        <v>201</v>
      </c>
      <c r="K126">
        <v>7.0099999999999996E-2</v>
      </c>
      <c r="L126">
        <v>36</v>
      </c>
      <c r="M126">
        <v>32</v>
      </c>
      <c r="N126" t="s">
        <v>119</v>
      </c>
    </row>
    <row r="127" spans="1:14">
      <c r="A127">
        <v>1987</v>
      </c>
      <c r="B127" t="s">
        <v>20</v>
      </c>
      <c r="C127" t="s">
        <v>28</v>
      </c>
      <c r="D127" s="2">
        <v>0.11700000000000001</v>
      </c>
      <c r="E127" t="s">
        <v>16</v>
      </c>
      <c r="F127">
        <v>0.114</v>
      </c>
      <c r="G127" t="s">
        <v>16</v>
      </c>
      <c r="H127">
        <v>0.1085</v>
      </c>
      <c r="I127" t="s">
        <v>16</v>
      </c>
      <c r="J127">
        <v>593</v>
      </c>
      <c r="K127">
        <v>7.0099999999999996E-2</v>
      </c>
      <c r="L127">
        <v>36</v>
      </c>
      <c r="M127">
        <v>32</v>
      </c>
      <c r="N127" t="s">
        <v>123</v>
      </c>
    </row>
    <row r="128" spans="1:14">
      <c r="A128">
        <v>1987</v>
      </c>
      <c r="B128" t="s">
        <v>20</v>
      </c>
      <c r="C128" t="s">
        <v>18</v>
      </c>
      <c r="D128" s="2" t="s">
        <v>16</v>
      </c>
      <c r="E128" t="s">
        <v>16</v>
      </c>
      <c r="F128">
        <v>0.125</v>
      </c>
      <c r="G128" t="s">
        <v>16</v>
      </c>
      <c r="H128">
        <v>0.125</v>
      </c>
      <c r="I128" t="s">
        <v>16</v>
      </c>
      <c r="J128">
        <v>241</v>
      </c>
      <c r="K128">
        <v>7.0099999999999996E-2</v>
      </c>
      <c r="L128">
        <v>54</v>
      </c>
      <c r="M128">
        <v>51</v>
      </c>
      <c r="N128" t="s">
        <v>122</v>
      </c>
    </row>
    <row r="129" spans="1:14">
      <c r="A129">
        <v>1987</v>
      </c>
      <c r="B129" t="s">
        <v>20</v>
      </c>
      <c r="C129" t="s">
        <v>25</v>
      </c>
      <c r="D129" s="2">
        <v>0.13</v>
      </c>
      <c r="E129" t="s">
        <v>16</v>
      </c>
      <c r="F129">
        <v>0.123</v>
      </c>
      <c r="G129" t="s">
        <v>16</v>
      </c>
      <c r="H129">
        <v>0.1255</v>
      </c>
      <c r="I129" t="s">
        <v>16</v>
      </c>
      <c r="J129">
        <v>335</v>
      </c>
      <c r="K129">
        <v>7.0099999999999996E-2</v>
      </c>
      <c r="L129">
        <v>72</v>
      </c>
      <c r="M129">
        <v>72</v>
      </c>
      <c r="N129" t="s">
        <v>124</v>
      </c>
    </row>
    <row r="130" spans="1:14">
      <c r="A130">
        <v>1987</v>
      </c>
      <c r="B130" t="s">
        <v>20</v>
      </c>
      <c r="C130" t="s">
        <v>25</v>
      </c>
      <c r="D130" s="2">
        <v>0.13</v>
      </c>
      <c r="E130" t="s">
        <v>16</v>
      </c>
      <c r="F130">
        <v>0.123</v>
      </c>
      <c r="G130" t="s">
        <v>16</v>
      </c>
      <c r="H130">
        <v>0.123</v>
      </c>
      <c r="I130" t="s">
        <v>16</v>
      </c>
      <c r="J130">
        <v>391</v>
      </c>
      <c r="K130">
        <v>7.0099999999999996E-2</v>
      </c>
      <c r="L130">
        <v>51</v>
      </c>
      <c r="M130">
        <v>50</v>
      </c>
      <c r="N130" t="s">
        <v>117</v>
      </c>
    </row>
    <row r="131" spans="1:14">
      <c r="A131">
        <v>1987</v>
      </c>
      <c r="B131" t="s">
        <v>20</v>
      </c>
      <c r="C131" t="s">
        <v>28</v>
      </c>
      <c r="D131" s="2">
        <v>0.11990000000000001</v>
      </c>
      <c r="E131" t="s">
        <v>16</v>
      </c>
      <c r="F131" t="s">
        <v>16</v>
      </c>
      <c r="G131" t="s">
        <v>16</v>
      </c>
      <c r="H131">
        <v>0.1105</v>
      </c>
      <c r="I131" t="s">
        <v>16</v>
      </c>
      <c r="J131">
        <v>455</v>
      </c>
      <c r="K131">
        <v>7.0099999999999996E-2</v>
      </c>
      <c r="L131">
        <v>63</v>
      </c>
      <c r="M131">
        <v>60</v>
      </c>
      <c r="N131" t="s">
        <v>125</v>
      </c>
    </row>
    <row r="132" spans="1:14">
      <c r="A132">
        <v>1987</v>
      </c>
      <c r="B132" t="s">
        <v>20</v>
      </c>
      <c r="C132" t="s">
        <v>18</v>
      </c>
      <c r="D132" s="2">
        <v>0.123</v>
      </c>
      <c r="E132" t="s">
        <v>16</v>
      </c>
      <c r="F132">
        <v>0.1125</v>
      </c>
      <c r="G132" t="s">
        <v>16</v>
      </c>
      <c r="H132">
        <v>0.1115</v>
      </c>
      <c r="I132" t="s">
        <v>16</v>
      </c>
      <c r="J132">
        <v>471</v>
      </c>
      <c r="K132">
        <v>7.0099999999999996E-2</v>
      </c>
      <c r="L132">
        <v>48</v>
      </c>
      <c r="M132">
        <v>44</v>
      </c>
      <c r="N132" t="s">
        <v>126</v>
      </c>
    </row>
    <row r="133" spans="1:14">
      <c r="A133">
        <v>1987</v>
      </c>
      <c r="B133" t="s">
        <v>20</v>
      </c>
      <c r="C133" t="s">
        <v>103</v>
      </c>
      <c r="D133" s="2">
        <v>0.13700000000000001</v>
      </c>
      <c r="E133" t="s">
        <v>16</v>
      </c>
      <c r="F133">
        <v>0.124</v>
      </c>
      <c r="G133" t="s">
        <v>16</v>
      </c>
      <c r="H133">
        <v>0.128</v>
      </c>
      <c r="I133" t="s">
        <v>16</v>
      </c>
      <c r="J133">
        <v>481</v>
      </c>
      <c r="K133">
        <v>7.0099999999999996E-2</v>
      </c>
      <c r="L133">
        <v>34</v>
      </c>
      <c r="M133">
        <v>31</v>
      </c>
      <c r="N133" t="s">
        <v>118</v>
      </c>
    </row>
    <row r="134" spans="1:14">
      <c r="A134">
        <v>1987</v>
      </c>
      <c r="B134" t="s">
        <v>20</v>
      </c>
      <c r="C134" t="s">
        <v>15</v>
      </c>
      <c r="D134" s="2">
        <v>0.127</v>
      </c>
      <c r="E134" t="s">
        <v>16</v>
      </c>
      <c r="F134">
        <v>0.1125</v>
      </c>
      <c r="G134" t="s">
        <v>16</v>
      </c>
      <c r="H134">
        <v>0.1125</v>
      </c>
      <c r="I134" t="s">
        <v>16</v>
      </c>
      <c r="J134">
        <v>495</v>
      </c>
      <c r="K134">
        <v>7.0099999999999996E-2</v>
      </c>
      <c r="L134">
        <v>96</v>
      </c>
      <c r="M134">
        <v>93</v>
      </c>
      <c r="N134" t="s">
        <v>126</v>
      </c>
    </row>
    <row r="135" spans="1:14">
      <c r="A135">
        <v>1987</v>
      </c>
      <c r="B135" t="s">
        <v>20</v>
      </c>
      <c r="C135" t="s">
        <v>43</v>
      </c>
      <c r="D135" s="2">
        <v>0.12</v>
      </c>
      <c r="E135" t="s">
        <v>16</v>
      </c>
      <c r="F135">
        <v>0.11</v>
      </c>
      <c r="G135" t="s">
        <v>16</v>
      </c>
      <c r="H135">
        <v>0.115</v>
      </c>
      <c r="I135" t="s">
        <v>16</v>
      </c>
      <c r="J135">
        <v>561</v>
      </c>
      <c r="K135">
        <v>7.0099999999999996E-2</v>
      </c>
      <c r="L135">
        <v>59</v>
      </c>
      <c r="M135">
        <v>56</v>
      </c>
      <c r="N135" t="s">
        <v>127</v>
      </c>
    </row>
    <row r="136" spans="1:14">
      <c r="A136">
        <v>1987</v>
      </c>
      <c r="B136" t="s">
        <v>14</v>
      </c>
      <c r="C136" t="s">
        <v>18</v>
      </c>
      <c r="D136" s="2">
        <v>0.1535</v>
      </c>
      <c r="E136">
        <v>17853</v>
      </c>
      <c r="F136">
        <v>0.1535</v>
      </c>
      <c r="G136">
        <v>6766</v>
      </c>
      <c r="H136" t="s">
        <v>16</v>
      </c>
      <c r="I136" t="s">
        <v>16</v>
      </c>
      <c r="J136">
        <v>26</v>
      </c>
      <c r="K136">
        <v>7.0499999999999993E-2</v>
      </c>
      <c r="L136">
        <v>6</v>
      </c>
      <c r="M136">
        <v>2</v>
      </c>
      <c r="N136" t="s">
        <v>128</v>
      </c>
    </row>
    <row r="137" spans="1:14">
      <c r="A137">
        <v>1987</v>
      </c>
      <c r="B137" t="s">
        <v>14</v>
      </c>
      <c r="C137" t="s">
        <v>18</v>
      </c>
      <c r="D137" s="2">
        <v>0.1525</v>
      </c>
      <c r="E137">
        <v>9174</v>
      </c>
      <c r="F137">
        <v>0.14499999999999999</v>
      </c>
      <c r="G137">
        <v>9134</v>
      </c>
      <c r="H137" t="s">
        <v>16</v>
      </c>
      <c r="I137" t="s">
        <v>16</v>
      </c>
      <c r="J137">
        <v>32</v>
      </c>
      <c r="K137">
        <v>7.0499999999999993E-2</v>
      </c>
      <c r="L137">
        <v>4</v>
      </c>
      <c r="M137">
        <v>2</v>
      </c>
      <c r="N137" t="s">
        <v>129</v>
      </c>
    </row>
    <row r="138" spans="1:14">
      <c r="A138">
        <v>1987</v>
      </c>
      <c r="B138" t="s">
        <v>14</v>
      </c>
      <c r="C138" t="s">
        <v>18</v>
      </c>
      <c r="D138" s="2">
        <v>0.13500000000000001</v>
      </c>
      <c r="E138">
        <v>19563</v>
      </c>
      <c r="F138">
        <v>0.128</v>
      </c>
      <c r="G138">
        <v>28044</v>
      </c>
      <c r="H138">
        <v>0.13300000000000001</v>
      </c>
      <c r="I138">
        <v>199242</v>
      </c>
      <c r="J138">
        <v>147</v>
      </c>
      <c r="K138">
        <v>7.0499999999999993E-2</v>
      </c>
      <c r="L138">
        <v>2</v>
      </c>
      <c r="M138">
        <v>2</v>
      </c>
      <c r="N138" t="s">
        <v>130</v>
      </c>
    </row>
    <row r="139" spans="1:14">
      <c r="A139">
        <v>1987</v>
      </c>
      <c r="B139" t="s">
        <v>14</v>
      </c>
      <c r="C139" t="s">
        <v>15</v>
      </c>
      <c r="D139" s="2">
        <v>0.153</v>
      </c>
      <c r="E139">
        <v>11564</v>
      </c>
      <c r="F139">
        <v>0.153</v>
      </c>
      <c r="G139">
        <v>13082</v>
      </c>
      <c r="H139">
        <v>0.153</v>
      </c>
      <c r="I139">
        <v>91746</v>
      </c>
      <c r="J139">
        <v>354</v>
      </c>
      <c r="K139">
        <v>7.0499999999999993E-2</v>
      </c>
      <c r="L139">
        <v>5</v>
      </c>
      <c r="M139">
        <v>3</v>
      </c>
      <c r="N139" t="s">
        <v>131</v>
      </c>
    </row>
    <row r="140" spans="1:14">
      <c r="A140">
        <v>1987</v>
      </c>
      <c r="B140" t="s">
        <v>14</v>
      </c>
      <c r="C140" t="s">
        <v>18</v>
      </c>
      <c r="D140" s="2">
        <v>0.1535</v>
      </c>
      <c r="E140">
        <v>10308</v>
      </c>
      <c r="F140">
        <v>0.14349999999999999</v>
      </c>
      <c r="G140">
        <v>9537</v>
      </c>
      <c r="H140">
        <v>0.14849999999999999</v>
      </c>
      <c r="I140">
        <v>94292</v>
      </c>
      <c r="J140">
        <v>567</v>
      </c>
      <c r="K140">
        <v>7.0499999999999993E-2</v>
      </c>
      <c r="L140">
        <v>23</v>
      </c>
      <c r="M140">
        <v>19</v>
      </c>
      <c r="N140" t="s">
        <v>131</v>
      </c>
    </row>
    <row r="141" spans="1:14">
      <c r="A141">
        <v>1987</v>
      </c>
      <c r="B141" t="s">
        <v>20</v>
      </c>
      <c r="C141" t="s">
        <v>25</v>
      </c>
      <c r="D141" s="2">
        <v>0.13250000000000001</v>
      </c>
      <c r="E141" t="s">
        <v>16</v>
      </c>
      <c r="F141" t="s">
        <v>16</v>
      </c>
      <c r="G141" t="s">
        <v>16</v>
      </c>
      <c r="H141" t="s">
        <v>16</v>
      </c>
      <c r="I141" t="s">
        <v>16</v>
      </c>
      <c r="J141">
        <v>13</v>
      </c>
      <c r="K141">
        <v>7.0499999999999993E-2</v>
      </c>
      <c r="L141">
        <v>36</v>
      </c>
      <c r="M141">
        <v>34</v>
      </c>
      <c r="N141" t="s">
        <v>128</v>
      </c>
    </row>
    <row r="142" spans="1:14">
      <c r="A142">
        <v>1987</v>
      </c>
      <c r="B142" t="s">
        <v>20</v>
      </c>
      <c r="C142" t="s">
        <v>132</v>
      </c>
      <c r="D142" s="2">
        <v>0.11550000000000001</v>
      </c>
      <c r="E142" t="s">
        <v>16</v>
      </c>
      <c r="F142">
        <v>0.1055</v>
      </c>
      <c r="G142" t="s">
        <v>16</v>
      </c>
      <c r="H142">
        <v>0.114</v>
      </c>
      <c r="I142" t="s">
        <v>16</v>
      </c>
      <c r="J142">
        <v>435</v>
      </c>
      <c r="K142">
        <v>7.0499999999999993E-2</v>
      </c>
      <c r="L142">
        <v>81</v>
      </c>
      <c r="M142">
        <v>78</v>
      </c>
      <c r="N142" t="s">
        <v>133</v>
      </c>
    </row>
    <row r="143" spans="1:14">
      <c r="A143">
        <v>1987</v>
      </c>
      <c r="B143" t="s">
        <v>20</v>
      </c>
      <c r="C143" t="s">
        <v>15</v>
      </c>
      <c r="D143" s="2">
        <v>0.13500000000000001</v>
      </c>
      <c r="E143" t="s">
        <v>16</v>
      </c>
      <c r="F143">
        <v>0.128</v>
      </c>
      <c r="G143" t="s">
        <v>16</v>
      </c>
      <c r="H143">
        <v>0.13200000000000001</v>
      </c>
      <c r="I143" t="s">
        <v>16</v>
      </c>
      <c r="J143">
        <v>505</v>
      </c>
      <c r="K143">
        <v>7.0499999999999993E-2</v>
      </c>
      <c r="L143">
        <v>49</v>
      </c>
      <c r="M143">
        <v>46</v>
      </c>
      <c r="N143" t="s">
        <v>134</v>
      </c>
    </row>
    <row r="144" spans="1:14">
      <c r="A144">
        <v>1988</v>
      </c>
      <c r="B144" t="s">
        <v>20</v>
      </c>
      <c r="C144" t="s">
        <v>18</v>
      </c>
      <c r="D144" s="2">
        <v>0.1245</v>
      </c>
      <c r="E144" t="s">
        <v>16</v>
      </c>
      <c r="F144">
        <v>0.1125</v>
      </c>
      <c r="G144" t="s">
        <v>16</v>
      </c>
      <c r="H144">
        <v>0.11700000000000001</v>
      </c>
      <c r="I144" t="s">
        <v>16</v>
      </c>
      <c r="J144">
        <v>101</v>
      </c>
      <c r="K144">
        <v>6.7000000000000004E-2</v>
      </c>
      <c r="L144">
        <v>50</v>
      </c>
      <c r="M144">
        <v>47</v>
      </c>
      <c r="N144" t="s">
        <v>135</v>
      </c>
    </row>
    <row r="145" spans="1:14">
      <c r="A145">
        <v>1988</v>
      </c>
      <c r="B145" t="s">
        <v>20</v>
      </c>
      <c r="C145" t="s">
        <v>18</v>
      </c>
      <c r="D145" s="2">
        <v>0.13</v>
      </c>
      <c r="E145" t="s">
        <v>16</v>
      </c>
      <c r="F145">
        <v>0.12</v>
      </c>
      <c r="G145" t="s">
        <v>16</v>
      </c>
      <c r="H145">
        <v>0.125</v>
      </c>
      <c r="I145" t="s">
        <v>16</v>
      </c>
      <c r="J145">
        <v>55</v>
      </c>
      <c r="K145">
        <v>6.6500000000000004E-2</v>
      </c>
      <c r="L145">
        <v>39</v>
      </c>
      <c r="M145">
        <v>37</v>
      </c>
      <c r="N145" t="s">
        <v>136</v>
      </c>
    </row>
    <row r="146" spans="1:14">
      <c r="A146">
        <v>1988</v>
      </c>
      <c r="B146" t="s">
        <v>20</v>
      </c>
      <c r="C146" t="s">
        <v>55</v>
      </c>
      <c r="D146" s="2">
        <v>0.125</v>
      </c>
      <c r="E146" t="s">
        <v>16</v>
      </c>
      <c r="F146">
        <v>0.115</v>
      </c>
      <c r="G146" t="s">
        <v>16</v>
      </c>
      <c r="H146">
        <v>0.115</v>
      </c>
      <c r="I146" t="s">
        <v>16</v>
      </c>
      <c r="J146">
        <v>171</v>
      </c>
      <c r="K146">
        <v>6.6500000000000004E-2</v>
      </c>
      <c r="L146">
        <v>64</v>
      </c>
      <c r="M146">
        <v>62</v>
      </c>
      <c r="N146" t="s">
        <v>137</v>
      </c>
    </row>
    <row r="147" spans="1:14">
      <c r="A147">
        <v>1988</v>
      </c>
      <c r="B147" t="s">
        <v>20</v>
      </c>
      <c r="C147" t="s">
        <v>25</v>
      </c>
      <c r="D147" s="2">
        <v>0.14000000000000001</v>
      </c>
      <c r="E147" t="s">
        <v>16</v>
      </c>
      <c r="F147">
        <v>0.13</v>
      </c>
      <c r="G147" t="s">
        <v>16</v>
      </c>
      <c r="H147">
        <v>0.13500000000000001</v>
      </c>
      <c r="I147" t="s">
        <v>16</v>
      </c>
      <c r="J147">
        <v>393</v>
      </c>
      <c r="K147">
        <v>6.6500000000000004E-2</v>
      </c>
      <c r="L147">
        <v>51</v>
      </c>
      <c r="M147">
        <v>50</v>
      </c>
      <c r="N147" t="s">
        <v>136</v>
      </c>
    </row>
    <row r="148" spans="1:14">
      <c r="A148">
        <v>1988</v>
      </c>
      <c r="B148" t="s">
        <v>20</v>
      </c>
      <c r="C148" t="s">
        <v>28</v>
      </c>
      <c r="D148" s="2">
        <v>0.1283</v>
      </c>
      <c r="E148" t="s">
        <v>16</v>
      </c>
      <c r="F148">
        <v>0.1183</v>
      </c>
      <c r="G148" t="s">
        <v>16</v>
      </c>
      <c r="H148">
        <v>0.1183</v>
      </c>
      <c r="I148" t="s">
        <v>16</v>
      </c>
      <c r="J148">
        <v>441</v>
      </c>
      <c r="K148">
        <v>6.6500000000000004E-2</v>
      </c>
      <c r="L148">
        <v>107</v>
      </c>
      <c r="M148">
        <v>105</v>
      </c>
      <c r="N148" t="s">
        <v>138</v>
      </c>
    </row>
    <row r="149" spans="1:14">
      <c r="A149">
        <v>1988</v>
      </c>
      <c r="B149" t="s">
        <v>14</v>
      </c>
      <c r="C149" t="s">
        <v>15</v>
      </c>
      <c r="D149" s="2">
        <v>0.15</v>
      </c>
      <c r="E149">
        <v>72342</v>
      </c>
      <c r="F149">
        <v>0.14000000000000001</v>
      </c>
      <c r="G149">
        <v>131365</v>
      </c>
      <c r="H149">
        <v>0.14499999999999999</v>
      </c>
      <c r="I149">
        <v>881599</v>
      </c>
      <c r="J149">
        <v>35</v>
      </c>
      <c r="K149">
        <v>6.6500000000000004E-2</v>
      </c>
      <c r="L149">
        <v>16</v>
      </c>
      <c r="M149">
        <v>13</v>
      </c>
      <c r="N149" t="s">
        <v>139</v>
      </c>
    </row>
    <row r="150" spans="1:14">
      <c r="A150">
        <v>1988</v>
      </c>
      <c r="B150" t="s">
        <v>14</v>
      </c>
      <c r="C150" t="s">
        <v>18</v>
      </c>
      <c r="D150" s="2">
        <v>0.1525</v>
      </c>
      <c r="E150">
        <v>63951</v>
      </c>
      <c r="F150">
        <v>0.1525</v>
      </c>
      <c r="G150">
        <v>63815</v>
      </c>
      <c r="H150" t="s">
        <v>16</v>
      </c>
      <c r="I150" t="s">
        <v>16</v>
      </c>
      <c r="J150">
        <v>91</v>
      </c>
      <c r="K150">
        <v>6.6500000000000004E-2</v>
      </c>
      <c r="L150">
        <v>14</v>
      </c>
      <c r="M150">
        <v>11</v>
      </c>
      <c r="N150" t="s">
        <v>140</v>
      </c>
    </row>
    <row r="151" spans="1:14">
      <c r="A151">
        <v>1988</v>
      </c>
      <c r="B151" t="s">
        <v>14</v>
      </c>
      <c r="C151" t="s">
        <v>15</v>
      </c>
      <c r="D151" s="2">
        <v>0.14580000000000001</v>
      </c>
      <c r="E151">
        <v>69288</v>
      </c>
      <c r="F151">
        <v>0.14580000000000001</v>
      </c>
      <c r="G151">
        <v>199678</v>
      </c>
      <c r="H151">
        <v>0.14580000000000001</v>
      </c>
      <c r="I151">
        <v>722496</v>
      </c>
      <c r="J151">
        <v>134</v>
      </c>
      <c r="K151">
        <v>6.6500000000000004E-2</v>
      </c>
      <c r="L151">
        <v>3</v>
      </c>
      <c r="M151">
        <v>1</v>
      </c>
      <c r="N151" t="s">
        <v>141</v>
      </c>
    </row>
    <row r="152" spans="1:14">
      <c r="A152">
        <v>1988</v>
      </c>
      <c r="B152" t="s">
        <v>14</v>
      </c>
      <c r="C152" t="s">
        <v>15</v>
      </c>
      <c r="D152" s="2" t="s">
        <v>16</v>
      </c>
      <c r="E152" t="s">
        <v>16</v>
      </c>
      <c r="F152">
        <v>0.14299999999999999</v>
      </c>
      <c r="G152">
        <v>24866</v>
      </c>
      <c r="H152">
        <v>0.14549999999999999</v>
      </c>
      <c r="I152">
        <v>1150</v>
      </c>
      <c r="J152">
        <v>157</v>
      </c>
      <c r="K152">
        <v>6.6500000000000004E-2</v>
      </c>
      <c r="L152">
        <v>12</v>
      </c>
      <c r="M152">
        <v>8</v>
      </c>
      <c r="N152" t="s">
        <v>142</v>
      </c>
    </row>
    <row r="153" spans="1:14">
      <c r="A153">
        <v>1988</v>
      </c>
      <c r="B153" t="s">
        <v>14</v>
      </c>
      <c r="C153" t="s">
        <v>18</v>
      </c>
      <c r="D153" s="2">
        <v>0.154</v>
      </c>
      <c r="E153">
        <v>58173</v>
      </c>
      <c r="F153">
        <v>0.14449999999999999</v>
      </c>
      <c r="G153">
        <v>134692</v>
      </c>
      <c r="H153">
        <v>0.14449999999999999</v>
      </c>
      <c r="I153">
        <v>905805</v>
      </c>
      <c r="J153">
        <v>291</v>
      </c>
      <c r="K153">
        <v>6.6500000000000004E-2</v>
      </c>
      <c r="L153">
        <v>15</v>
      </c>
      <c r="M153">
        <v>11</v>
      </c>
      <c r="N153" t="s">
        <v>143</v>
      </c>
    </row>
    <row r="154" spans="1:14">
      <c r="A154">
        <v>1988</v>
      </c>
      <c r="B154" t="s">
        <v>14</v>
      </c>
      <c r="C154" t="s">
        <v>18</v>
      </c>
      <c r="D154" s="2">
        <v>0.15049999999999999</v>
      </c>
      <c r="E154">
        <v>60128</v>
      </c>
      <c r="F154">
        <v>0.14050000000000001</v>
      </c>
      <c r="G154">
        <v>95365</v>
      </c>
      <c r="H154" t="s">
        <v>16</v>
      </c>
      <c r="I154" t="s">
        <v>16</v>
      </c>
      <c r="J154">
        <v>452</v>
      </c>
      <c r="K154">
        <v>6.6500000000000004E-2</v>
      </c>
      <c r="L154">
        <v>4</v>
      </c>
      <c r="M154">
        <v>0</v>
      </c>
      <c r="N154" t="s">
        <v>140</v>
      </c>
    </row>
    <row r="155" spans="1:14">
      <c r="A155">
        <v>1988</v>
      </c>
      <c r="B155" t="s">
        <v>14</v>
      </c>
      <c r="C155" t="s">
        <v>15</v>
      </c>
      <c r="D155" s="2">
        <v>0.155</v>
      </c>
      <c r="E155">
        <v>7544</v>
      </c>
      <c r="F155">
        <v>0.14499999999999999</v>
      </c>
      <c r="G155">
        <v>8205</v>
      </c>
      <c r="H155" t="s">
        <v>16</v>
      </c>
      <c r="I155" t="s">
        <v>16</v>
      </c>
      <c r="J155">
        <v>533</v>
      </c>
      <c r="K155">
        <v>6.6500000000000004E-2</v>
      </c>
      <c r="L155">
        <v>9</v>
      </c>
      <c r="M155">
        <v>7</v>
      </c>
      <c r="N155" t="s">
        <v>144</v>
      </c>
    </row>
    <row r="156" spans="1:14">
      <c r="A156">
        <v>1988</v>
      </c>
      <c r="B156" t="s">
        <v>14</v>
      </c>
      <c r="C156" t="s">
        <v>18</v>
      </c>
      <c r="D156" s="2">
        <v>0.155</v>
      </c>
      <c r="E156">
        <v>7203</v>
      </c>
      <c r="F156">
        <v>0.14499999999999999</v>
      </c>
      <c r="G156">
        <v>11354</v>
      </c>
      <c r="H156">
        <v>0.14899999999999999</v>
      </c>
      <c r="I156">
        <v>93857</v>
      </c>
      <c r="J156">
        <v>567</v>
      </c>
      <c r="K156">
        <v>6.6500000000000004E-2</v>
      </c>
      <c r="L156">
        <v>23</v>
      </c>
      <c r="M156">
        <v>19</v>
      </c>
      <c r="N156" t="s">
        <v>145</v>
      </c>
    </row>
    <row r="157" spans="1:14">
      <c r="A157">
        <v>1988</v>
      </c>
      <c r="B157" t="s">
        <v>20</v>
      </c>
      <c r="C157" t="s">
        <v>15</v>
      </c>
      <c r="D157" s="2">
        <v>0.13500000000000001</v>
      </c>
      <c r="E157" t="s">
        <v>16</v>
      </c>
      <c r="F157">
        <v>0.126</v>
      </c>
      <c r="G157" t="s">
        <v>16</v>
      </c>
      <c r="H157">
        <v>0.13400000000000001</v>
      </c>
      <c r="I157" t="s">
        <v>16</v>
      </c>
      <c r="J157">
        <v>191</v>
      </c>
      <c r="K157">
        <v>6.6500000000000004E-2</v>
      </c>
      <c r="L157">
        <v>34</v>
      </c>
      <c r="M157">
        <v>30</v>
      </c>
      <c r="N157" t="s">
        <v>146</v>
      </c>
    </row>
    <row r="158" spans="1:14">
      <c r="A158">
        <v>1988</v>
      </c>
      <c r="B158" t="s">
        <v>20</v>
      </c>
      <c r="C158" t="s">
        <v>18</v>
      </c>
      <c r="D158" s="2">
        <v>0.125</v>
      </c>
      <c r="E158" t="s">
        <v>16</v>
      </c>
      <c r="F158">
        <v>0.115</v>
      </c>
      <c r="G158" t="s">
        <v>16</v>
      </c>
      <c r="H158">
        <v>0.114</v>
      </c>
      <c r="I158" t="s">
        <v>16</v>
      </c>
      <c r="J158">
        <v>201</v>
      </c>
      <c r="K158">
        <v>6.6500000000000004E-2</v>
      </c>
      <c r="L158">
        <v>36</v>
      </c>
      <c r="M158">
        <v>32</v>
      </c>
      <c r="N158" t="s">
        <v>147</v>
      </c>
    </row>
    <row r="159" spans="1:14">
      <c r="A159">
        <v>1988</v>
      </c>
      <c r="B159" t="s">
        <v>20</v>
      </c>
      <c r="C159" t="s">
        <v>28</v>
      </c>
      <c r="D159" s="2">
        <v>0.11700000000000001</v>
      </c>
      <c r="E159" t="s">
        <v>16</v>
      </c>
      <c r="F159">
        <v>0.11</v>
      </c>
      <c r="G159" t="s">
        <v>16</v>
      </c>
      <c r="H159">
        <v>0.1085</v>
      </c>
      <c r="I159" t="s">
        <v>16</v>
      </c>
      <c r="J159">
        <v>593</v>
      </c>
      <c r="K159">
        <v>6.6500000000000004E-2</v>
      </c>
      <c r="L159">
        <v>36</v>
      </c>
      <c r="M159">
        <v>32</v>
      </c>
      <c r="N159" t="s">
        <v>139</v>
      </c>
    </row>
    <row r="160" spans="1:14">
      <c r="A160">
        <v>1988</v>
      </c>
      <c r="B160" t="s">
        <v>20</v>
      </c>
      <c r="C160" t="s">
        <v>18</v>
      </c>
      <c r="D160" s="2" t="s">
        <v>16</v>
      </c>
      <c r="E160" t="s">
        <v>16</v>
      </c>
      <c r="F160">
        <v>0.12</v>
      </c>
      <c r="G160" t="s">
        <v>16</v>
      </c>
      <c r="H160">
        <v>0.12</v>
      </c>
      <c r="I160" t="s">
        <v>16</v>
      </c>
      <c r="J160">
        <v>241</v>
      </c>
      <c r="K160">
        <v>6.6500000000000004E-2</v>
      </c>
      <c r="L160">
        <v>54</v>
      </c>
      <c r="M160">
        <v>51</v>
      </c>
      <c r="N160" t="s">
        <v>148</v>
      </c>
    </row>
    <row r="161" spans="1:14">
      <c r="A161">
        <v>1988</v>
      </c>
      <c r="B161" t="s">
        <v>20</v>
      </c>
      <c r="C161" t="s">
        <v>15</v>
      </c>
      <c r="D161" s="2">
        <v>0.13100000000000001</v>
      </c>
      <c r="E161" t="s">
        <v>16</v>
      </c>
      <c r="F161">
        <v>0.124</v>
      </c>
      <c r="G161" t="s">
        <v>16</v>
      </c>
      <c r="H161">
        <v>0.1265</v>
      </c>
      <c r="I161" t="s">
        <v>16</v>
      </c>
      <c r="J161">
        <v>335</v>
      </c>
      <c r="K161">
        <v>6.6500000000000004E-2</v>
      </c>
      <c r="L161">
        <v>72</v>
      </c>
      <c r="M161">
        <v>72</v>
      </c>
      <c r="N161" t="s">
        <v>149</v>
      </c>
    </row>
    <row r="162" spans="1:14">
      <c r="A162">
        <v>1988</v>
      </c>
      <c r="B162" t="s">
        <v>20</v>
      </c>
      <c r="C162" t="s">
        <v>25</v>
      </c>
      <c r="D162" s="2">
        <v>0.13250000000000001</v>
      </c>
      <c r="E162" t="s">
        <v>16</v>
      </c>
      <c r="F162">
        <v>0.1255</v>
      </c>
      <c r="G162" t="s">
        <v>16</v>
      </c>
      <c r="H162">
        <v>0.128</v>
      </c>
      <c r="I162" t="s">
        <v>16</v>
      </c>
      <c r="J162">
        <v>391</v>
      </c>
      <c r="K162">
        <v>6.6500000000000004E-2</v>
      </c>
      <c r="L162">
        <v>51</v>
      </c>
      <c r="M162">
        <v>50</v>
      </c>
      <c r="N162" t="s">
        <v>150</v>
      </c>
    </row>
    <row r="163" spans="1:14">
      <c r="A163">
        <v>1988</v>
      </c>
      <c r="B163" t="s">
        <v>20</v>
      </c>
      <c r="C163" t="s">
        <v>15</v>
      </c>
      <c r="D163" s="2">
        <v>0.11799999999999999</v>
      </c>
      <c r="E163" t="s">
        <v>16</v>
      </c>
      <c r="F163">
        <v>0.108</v>
      </c>
      <c r="G163" t="s">
        <v>16</v>
      </c>
      <c r="H163">
        <v>0.113</v>
      </c>
      <c r="I163" t="s">
        <v>16</v>
      </c>
      <c r="J163">
        <v>435</v>
      </c>
      <c r="K163">
        <v>6.6500000000000004E-2</v>
      </c>
      <c r="L163">
        <v>81</v>
      </c>
      <c r="M163">
        <v>78</v>
      </c>
      <c r="N163" t="s">
        <v>151</v>
      </c>
    </row>
    <row r="164" spans="1:14">
      <c r="A164">
        <v>1988</v>
      </c>
      <c r="B164" t="s">
        <v>20</v>
      </c>
      <c r="C164" t="s">
        <v>28</v>
      </c>
      <c r="D164" s="2">
        <v>0.11849999999999999</v>
      </c>
      <c r="E164" t="s">
        <v>16</v>
      </c>
      <c r="F164" t="s">
        <v>16</v>
      </c>
      <c r="G164" t="s">
        <v>16</v>
      </c>
      <c r="H164">
        <v>0.112</v>
      </c>
      <c r="I164" t="s">
        <v>16</v>
      </c>
      <c r="J164">
        <v>455</v>
      </c>
      <c r="K164">
        <v>6.6500000000000004E-2</v>
      </c>
      <c r="L164">
        <v>63</v>
      </c>
      <c r="M164">
        <v>60</v>
      </c>
      <c r="N164" t="s">
        <v>140</v>
      </c>
    </row>
    <row r="165" spans="1:14">
      <c r="A165">
        <v>1988</v>
      </c>
      <c r="B165" t="s">
        <v>20</v>
      </c>
      <c r="C165" t="s">
        <v>18</v>
      </c>
      <c r="D165" s="2">
        <v>0.125</v>
      </c>
      <c r="E165" t="s">
        <v>16</v>
      </c>
      <c r="F165">
        <v>0.115</v>
      </c>
      <c r="G165" t="s">
        <v>16</v>
      </c>
      <c r="H165">
        <v>0.1145</v>
      </c>
      <c r="I165" t="s">
        <v>16</v>
      </c>
      <c r="J165">
        <v>471</v>
      </c>
      <c r="K165">
        <v>6.6500000000000004E-2</v>
      </c>
      <c r="L165">
        <v>48</v>
      </c>
      <c r="M165">
        <v>44</v>
      </c>
      <c r="N165" t="s">
        <v>140</v>
      </c>
    </row>
    <row r="166" spans="1:14">
      <c r="A166">
        <v>1988</v>
      </c>
      <c r="B166" t="s">
        <v>20</v>
      </c>
      <c r="C166" t="s">
        <v>103</v>
      </c>
      <c r="D166" s="2">
        <v>0.13800000000000001</v>
      </c>
      <c r="E166" t="s">
        <v>16</v>
      </c>
      <c r="F166">
        <v>0.125</v>
      </c>
      <c r="G166" t="s">
        <v>16</v>
      </c>
      <c r="H166">
        <v>0.129</v>
      </c>
      <c r="I166" t="s">
        <v>16</v>
      </c>
      <c r="J166">
        <v>481</v>
      </c>
      <c r="K166">
        <v>6.6500000000000004E-2</v>
      </c>
      <c r="L166">
        <v>34</v>
      </c>
      <c r="M166">
        <v>31</v>
      </c>
      <c r="N166" t="s">
        <v>150</v>
      </c>
    </row>
    <row r="167" spans="1:14">
      <c r="A167">
        <v>1988</v>
      </c>
      <c r="B167" t="s">
        <v>20</v>
      </c>
      <c r="C167" t="s">
        <v>15</v>
      </c>
      <c r="D167" s="2">
        <v>0.122</v>
      </c>
      <c r="E167" t="s">
        <v>16</v>
      </c>
      <c r="F167">
        <v>0.112</v>
      </c>
      <c r="G167" t="s">
        <v>16</v>
      </c>
      <c r="H167">
        <v>0.112</v>
      </c>
      <c r="I167" t="s">
        <v>16</v>
      </c>
      <c r="J167">
        <v>495</v>
      </c>
      <c r="K167">
        <v>6.6500000000000004E-2</v>
      </c>
      <c r="L167">
        <v>96</v>
      </c>
      <c r="M167">
        <v>93</v>
      </c>
      <c r="N167" t="s">
        <v>143</v>
      </c>
    </row>
    <row r="168" spans="1:14">
      <c r="A168">
        <v>1988</v>
      </c>
      <c r="B168" t="s">
        <v>14</v>
      </c>
      <c r="C168" t="s">
        <v>18</v>
      </c>
      <c r="D168" s="2">
        <v>0.1555</v>
      </c>
      <c r="E168">
        <v>13287</v>
      </c>
      <c r="F168">
        <v>0.1555</v>
      </c>
      <c r="G168">
        <v>9911</v>
      </c>
      <c r="H168">
        <v>0.1555</v>
      </c>
      <c r="I168" t="s">
        <v>16</v>
      </c>
      <c r="J168">
        <v>26</v>
      </c>
      <c r="K168">
        <v>6.6500000000000004E-2</v>
      </c>
      <c r="L168">
        <v>6</v>
      </c>
      <c r="M168">
        <v>2</v>
      </c>
      <c r="N168" t="s">
        <v>152</v>
      </c>
    </row>
    <row r="169" spans="1:14">
      <c r="A169">
        <v>1988</v>
      </c>
      <c r="B169" t="s">
        <v>14</v>
      </c>
      <c r="C169" t="s">
        <v>18</v>
      </c>
      <c r="D169" s="2">
        <v>0.155</v>
      </c>
      <c r="E169">
        <v>15926</v>
      </c>
      <c r="F169">
        <v>0.14749999999999999</v>
      </c>
      <c r="G169">
        <v>13900</v>
      </c>
      <c r="H169" t="s">
        <v>16</v>
      </c>
      <c r="I169" t="s">
        <v>16</v>
      </c>
      <c r="J169">
        <v>32</v>
      </c>
      <c r="K169">
        <v>6.6500000000000004E-2</v>
      </c>
      <c r="L169">
        <v>4</v>
      </c>
      <c r="M169">
        <v>2</v>
      </c>
      <c r="N169" t="s">
        <v>153</v>
      </c>
    </row>
    <row r="170" spans="1:14">
      <c r="A170">
        <v>1988</v>
      </c>
      <c r="B170" t="s">
        <v>14</v>
      </c>
      <c r="C170" t="s">
        <v>18</v>
      </c>
      <c r="D170" s="2">
        <v>0.13900000000000001</v>
      </c>
      <c r="E170">
        <v>21309</v>
      </c>
      <c r="F170">
        <v>0.13</v>
      </c>
      <c r="G170">
        <v>29362</v>
      </c>
      <c r="H170">
        <v>0.14000000000000001</v>
      </c>
      <c r="I170">
        <v>201689</v>
      </c>
      <c r="J170">
        <v>147</v>
      </c>
      <c r="K170">
        <v>6.6500000000000004E-2</v>
      </c>
      <c r="L170">
        <v>2</v>
      </c>
      <c r="M170">
        <v>2</v>
      </c>
      <c r="N170" t="s">
        <v>154</v>
      </c>
    </row>
    <row r="171" spans="1:14">
      <c r="A171">
        <v>1988</v>
      </c>
      <c r="B171" t="s">
        <v>14</v>
      </c>
      <c r="C171" t="s">
        <v>18</v>
      </c>
      <c r="D171" s="2">
        <v>0.155</v>
      </c>
      <c r="E171">
        <v>11235</v>
      </c>
      <c r="F171">
        <v>0.14499999999999999</v>
      </c>
      <c r="G171">
        <v>30351</v>
      </c>
      <c r="H171">
        <v>0.14899999999999999</v>
      </c>
      <c r="I171">
        <v>94858</v>
      </c>
      <c r="J171">
        <v>176</v>
      </c>
      <c r="K171">
        <v>6.6500000000000004E-2</v>
      </c>
      <c r="L171">
        <v>7</v>
      </c>
      <c r="M171">
        <v>4</v>
      </c>
      <c r="N171" t="s">
        <v>155</v>
      </c>
    </row>
    <row r="172" spans="1:14">
      <c r="A172">
        <v>1988</v>
      </c>
      <c r="B172" t="s">
        <v>14</v>
      </c>
      <c r="C172" t="s">
        <v>15</v>
      </c>
      <c r="D172" s="2">
        <v>0.14829999999999999</v>
      </c>
      <c r="E172">
        <v>11763</v>
      </c>
      <c r="F172">
        <v>0.14829999999999999</v>
      </c>
      <c r="G172">
        <v>13307</v>
      </c>
      <c r="H172">
        <v>0.14829999999999999</v>
      </c>
      <c r="I172">
        <v>93325</v>
      </c>
      <c r="J172">
        <v>354</v>
      </c>
      <c r="K172">
        <v>6.6500000000000004E-2</v>
      </c>
      <c r="L172">
        <v>5</v>
      </c>
      <c r="M172">
        <v>3</v>
      </c>
      <c r="N172" t="s">
        <v>154</v>
      </c>
    </row>
    <row r="173" spans="1:14">
      <c r="A173">
        <v>1988</v>
      </c>
      <c r="B173" t="s">
        <v>20</v>
      </c>
      <c r="C173" t="s">
        <v>25</v>
      </c>
      <c r="D173" s="2">
        <v>0.14000000000000001</v>
      </c>
      <c r="E173" t="s">
        <v>16</v>
      </c>
      <c r="F173" t="s">
        <v>16</v>
      </c>
      <c r="G173" t="s">
        <v>16</v>
      </c>
      <c r="H173" t="s">
        <v>16</v>
      </c>
      <c r="I173" t="s">
        <v>16</v>
      </c>
      <c r="J173">
        <v>13</v>
      </c>
      <c r="K173">
        <v>6.6500000000000004E-2</v>
      </c>
      <c r="L173">
        <v>36</v>
      </c>
      <c r="M173">
        <v>34</v>
      </c>
      <c r="N173" t="s">
        <v>156</v>
      </c>
    </row>
    <row r="174" spans="1:14">
      <c r="A174">
        <v>1988</v>
      </c>
      <c r="B174" t="s">
        <v>20</v>
      </c>
      <c r="C174" t="s">
        <v>25</v>
      </c>
      <c r="D174" s="2">
        <v>0.14000000000000001</v>
      </c>
      <c r="E174" t="s">
        <v>16</v>
      </c>
      <c r="F174">
        <v>0.13300000000000001</v>
      </c>
      <c r="G174" t="s">
        <v>16</v>
      </c>
      <c r="H174">
        <v>0.13800000000000001</v>
      </c>
      <c r="I174" t="s">
        <v>16</v>
      </c>
      <c r="J174">
        <v>505</v>
      </c>
      <c r="K174">
        <v>6.6500000000000004E-2</v>
      </c>
      <c r="L174">
        <v>49</v>
      </c>
      <c r="M174">
        <v>46</v>
      </c>
      <c r="N174" t="s">
        <v>157</v>
      </c>
    </row>
    <row r="175" spans="1:14">
      <c r="A175">
        <v>1988</v>
      </c>
      <c r="B175" t="s">
        <v>20</v>
      </c>
      <c r="C175" t="s">
        <v>43</v>
      </c>
      <c r="D175" s="2">
        <v>0.12</v>
      </c>
      <c r="E175" t="s">
        <v>16</v>
      </c>
      <c r="F175">
        <v>0.11</v>
      </c>
      <c r="G175" t="s">
        <v>16</v>
      </c>
      <c r="H175">
        <v>0.115</v>
      </c>
      <c r="I175" t="s">
        <v>16</v>
      </c>
      <c r="J175">
        <v>561</v>
      </c>
      <c r="K175">
        <v>6.6500000000000004E-2</v>
      </c>
      <c r="L175">
        <v>59</v>
      </c>
      <c r="M175">
        <v>56</v>
      </c>
      <c r="N175" t="s">
        <v>158</v>
      </c>
    </row>
    <row r="176" spans="1:14">
      <c r="A176">
        <v>1989</v>
      </c>
      <c r="B176" t="s">
        <v>20</v>
      </c>
      <c r="C176" t="s">
        <v>43</v>
      </c>
      <c r="D176" s="2">
        <v>0.125</v>
      </c>
      <c r="E176" t="s">
        <v>16</v>
      </c>
      <c r="F176">
        <v>0.115</v>
      </c>
      <c r="G176" t="s">
        <v>16</v>
      </c>
      <c r="H176">
        <v>0.12</v>
      </c>
      <c r="I176" t="s">
        <v>16</v>
      </c>
      <c r="J176">
        <v>191</v>
      </c>
      <c r="K176">
        <v>7.6700000000000004E-2</v>
      </c>
      <c r="L176">
        <v>34</v>
      </c>
      <c r="M176">
        <v>30</v>
      </c>
      <c r="N176" t="s">
        <v>159</v>
      </c>
    </row>
    <row r="177" spans="1:14">
      <c r="A177">
        <v>1989</v>
      </c>
      <c r="B177" t="s">
        <v>20</v>
      </c>
      <c r="C177" t="s">
        <v>112</v>
      </c>
      <c r="D177" s="2">
        <v>0.1225</v>
      </c>
      <c r="E177" t="s">
        <v>16</v>
      </c>
      <c r="F177">
        <v>0.112</v>
      </c>
      <c r="G177" t="s">
        <v>16</v>
      </c>
      <c r="H177">
        <v>0.115</v>
      </c>
      <c r="I177" t="s">
        <v>16</v>
      </c>
      <c r="J177">
        <v>101</v>
      </c>
      <c r="K177">
        <v>7.0000000000000007E-2</v>
      </c>
      <c r="L177">
        <v>50</v>
      </c>
      <c r="M177">
        <v>47</v>
      </c>
      <c r="N177" t="s">
        <v>160</v>
      </c>
    </row>
    <row r="178" spans="1:14">
      <c r="A178">
        <v>1989</v>
      </c>
      <c r="B178" t="s">
        <v>14</v>
      </c>
      <c r="C178" t="s">
        <v>15</v>
      </c>
      <c r="D178" s="2">
        <v>0.14000000000000001</v>
      </c>
      <c r="E178">
        <v>13018</v>
      </c>
      <c r="F178">
        <v>0.13</v>
      </c>
      <c r="G178">
        <v>14920</v>
      </c>
      <c r="H178" t="s">
        <v>16</v>
      </c>
      <c r="I178">
        <v>676</v>
      </c>
      <c r="J178">
        <v>32</v>
      </c>
      <c r="K178">
        <v>7.0599999999999996E-2</v>
      </c>
      <c r="L178">
        <v>4</v>
      </c>
      <c r="M178">
        <v>2</v>
      </c>
      <c r="N178" t="s">
        <v>161</v>
      </c>
    </row>
    <row r="179" spans="1:14">
      <c r="A179">
        <v>1989</v>
      </c>
      <c r="B179" t="s">
        <v>14</v>
      </c>
      <c r="C179" t="s">
        <v>18</v>
      </c>
      <c r="D179" s="2">
        <v>0.129</v>
      </c>
      <c r="E179">
        <v>74811</v>
      </c>
      <c r="F179">
        <v>0.11799999999999999</v>
      </c>
      <c r="G179">
        <v>147975</v>
      </c>
      <c r="H179">
        <v>0.129</v>
      </c>
      <c r="I179">
        <v>349029</v>
      </c>
      <c r="J179">
        <v>35</v>
      </c>
      <c r="K179">
        <v>7.0599999999999996E-2</v>
      </c>
      <c r="L179">
        <v>16</v>
      </c>
      <c r="M179">
        <v>13</v>
      </c>
      <c r="N179" t="s">
        <v>162</v>
      </c>
    </row>
    <row r="180" spans="1:14">
      <c r="A180">
        <v>1989</v>
      </c>
      <c r="B180" t="s">
        <v>20</v>
      </c>
      <c r="C180" t="s">
        <v>18</v>
      </c>
      <c r="D180" s="2">
        <v>0.125</v>
      </c>
      <c r="E180" t="s">
        <v>16</v>
      </c>
      <c r="F180">
        <v>0.12</v>
      </c>
      <c r="G180" t="s">
        <v>16</v>
      </c>
      <c r="H180">
        <v>0.125</v>
      </c>
      <c r="I180" t="s">
        <v>16</v>
      </c>
      <c r="J180">
        <v>55</v>
      </c>
      <c r="K180">
        <v>7.0599999999999996E-2</v>
      </c>
      <c r="L180">
        <v>39</v>
      </c>
      <c r="M180">
        <v>37</v>
      </c>
      <c r="N180" t="s">
        <v>163</v>
      </c>
    </row>
    <row r="181" spans="1:14">
      <c r="A181">
        <v>1989</v>
      </c>
      <c r="B181" t="s">
        <v>20</v>
      </c>
      <c r="C181" t="s">
        <v>15</v>
      </c>
      <c r="D181" s="2">
        <v>0.13250000000000001</v>
      </c>
      <c r="E181" t="s">
        <v>16</v>
      </c>
      <c r="F181">
        <v>0.1225</v>
      </c>
      <c r="G181" t="s">
        <v>16</v>
      </c>
      <c r="H181">
        <v>0.1275</v>
      </c>
      <c r="I181" t="s">
        <v>16</v>
      </c>
      <c r="J181">
        <v>171</v>
      </c>
      <c r="K181">
        <v>7.0599999999999996E-2</v>
      </c>
      <c r="L181">
        <v>64</v>
      </c>
      <c r="M181">
        <v>62</v>
      </c>
      <c r="N181" t="s">
        <v>164</v>
      </c>
    </row>
    <row r="182" spans="1:14">
      <c r="A182">
        <v>1989</v>
      </c>
      <c r="B182" t="s">
        <v>20</v>
      </c>
      <c r="C182" t="s">
        <v>15</v>
      </c>
      <c r="D182" s="2">
        <v>0.12909999999999999</v>
      </c>
      <c r="E182" t="s">
        <v>16</v>
      </c>
      <c r="F182">
        <v>0.11799999999999999</v>
      </c>
      <c r="G182" t="s">
        <v>16</v>
      </c>
      <c r="H182">
        <v>0.1234</v>
      </c>
      <c r="I182" t="s">
        <v>16</v>
      </c>
      <c r="J182">
        <v>391</v>
      </c>
      <c r="K182">
        <v>7.0599999999999996E-2</v>
      </c>
      <c r="L182">
        <v>51</v>
      </c>
      <c r="M182">
        <v>50</v>
      </c>
      <c r="N182" t="s">
        <v>165</v>
      </c>
    </row>
    <row r="183" spans="1:14">
      <c r="A183">
        <v>1989</v>
      </c>
      <c r="B183" t="s">
        <v>20</v>
      </c>
      <c r="C183" t="s">
        <v>15</v>
      </c>
      <c r="D183" s="2">
        <v>0.13250000000000001</v>
      </c>
      <c r="E183" t="s">
        <v>16</v>
      </c>
      <c r="F183">
        <v>0.1255</v>
      </c>
      <c r="G183" t="s">
        <v>16</v>
      </c>
      <c r="H183">
        <v>0.1305</v>
      </c>
      <c r="I183" t="s">
        <v>16</v>
      </c>
      <c r="J183">
        <v>393</v>
      </c>
      <c r="K183">
        <v>7.0599999999999996E-2</v>
      </c>
      <c r="L183">
        <v>51</v>
      </c>
      <c r="M183">
        <v>50</v>
      </c>
      <c r="N183" t="s">
        <v>166</v>
      </c>
    </row>
    <row r="184" spans="1:14">
      <c r="A184">
        <v>1989</v>
      </c>
      <c r="B184" t="s">
        <v>20</v>
      </c>
      <c r="C184" t="s">
        <v>55</v>
      </c>
      <c r="D184" s="2">
        <v>0.13639999999999999</v>
      </c>
      <c r="E184" t="s">
        <v>16</v>
      </c>
      <c r="F184">
        <v>0.1275</v>
      </c>
      <c r="G184" t="s">
        <v>16</v>
      </c>
      <c r="H184">
        <v>0.12540000000000001</v>
      </c>
      <c r="I184" t="s">
        <v>16</v>
      </c>
      <c r="J184">
        <v>441</v>
      </c>
      <c r="K184">
        <v>7.0599999999999996E-2</v>
      </c>
      <c r="L184">
        <v>107</v>
      </c>
      <c r="M184">
        <v>105</v>
      </c>
      <c r="N184" t="s">
        <v>167</v>
      </c>
    </row>
    <row r="185" spans="1:14">
      <c r="A185">
        <v>1989</v>
      </c>
      <c r="B185" t="s">
        <v>14</v>
      </c>
      <c r="C185" t="s">
        <v>15</v>
      </c>
      <c r="D185" s="2">
        <v>0.1288</v>
      </c>
      <c r="E185">
        <v>48806</v>
      </c>
      <c r="F185">
        <v>0.1288</v>
      </c>
      <c r="G185">
        <v>62331</v>
      </c>
      <c r="H185" t="s">
        <v>16</v>
      </c>
      <c r="I185" t="s">
        <v>16</v>
      </c>
      <c r="J185">
        <v>91</v>
      </c>
      <c r="K185">
        <v>7.0699999999999999E-2</v>
      </c>
      <c r="L185">
        <v>14</v>
      </c>
      <c r="M185">
        <v>11</v>
      </c>
      <c r="N185" t="s">
        <v>168</v>
      </c>
    </row>
    <row r="186" spans="1:14">
      <c r="A186">
        <v>1989</v>
      </c>
      <c r="B186" t="s">
        <v>14</v>
      </c>
      <c r="C186" t="s">
        <v>15</v>
      </c>
      <c r="D186" s="2" t="s">
        <v>16</v>
      </c>
      <c r="E186" t="s">
        <v>16</v>
      </c>
      <c r="F186">
        <v>0.11749999999999999</v>
      </c>
      <c r="G186">
        <v>23852</v>
      </c>
      <c r="H186">
        <v>0.1225</v>
      </c>
      <c r="I186">
        <v>0</v>
      </c>
      <c r="J186">
        <v>157</v>
      </c>
      <c r="K186">
        <v>7.0699999999999999E-2</v>
      </c>
      <c r="L186">
        <v>12</v>
      </c>
      <c r="M186">
        <v>8</v>
      </c>
      <c r="N186" t="s">
        <v>169</v>
      </c>
    </row>
    <row r="187" spans="1:14">
      <c r="A187">
        <v>1989</v>
      </c>
      <c r="B187" t="s">
        <v>14</v>
      </c>
      <c r="C187" t="s">
        <v>18</v>
      </c>
      <c r="D187" s="2">
        <v>0.1285</v>
      </c>
      <c r="E187">
        <v>30950</v>
      </c>
      <c r="F187">
        <v>0.11849999999999999</v>
      </c>
      <c r="G187">
        <v>184259</v>
      </c>
      <c r="H187">
        <v>0.11849999999999999</v>
      </c>
      <c r="I187">
        <v>1009612</v>
      </c>
      <c r="J187">
        <v>291</v>
      </c>
      <c r="K187">
        <v>7.0699999999999999E-2</v>
      </c>
      <c r="L187">
        <v>15</v>
      </c>
      <c r="M187">
        <v>11</v>
      </c>
      <c r="N187" t="s">
        <v>170</v>
      </c>
    </row>
    <row r="188" spans="1:14">
      <c r="A188">
        <v>1989</v>
      </c>
      <c r="B188" t="s">
        <v>14</v>
      </c>
      <c r="C188" t="s">
        <v>18</v>
      </c>
      <c r="D188" s="2">
        <v>0.14000000000000001</v>
      </c>
      <c r="E188">
        <v>23186</v>
      </c>
      <c r="F188">
        <v>0.13</v>
      </c>
      <c r="G188">
        <v>125811</v>
      </c>
      <c r="H188" t="s">
        <v>16</v>
      </c>
      <c r="I188" t="s">
        <v>16</v>
      </c>
      <c r="J188">
        <v>452</v>
      </c>
      <c r="K188">
        <v>7.0699999999999999E-2</v>
      </c>
      <c r="L188">
        <v>4</v>
      </c>
      <c r="M188">
        <v>0</v>
      </c>
      <c r="N188" t="s">
        <v>171</v>
      </c>
    </row>
    <row r="189" spans="1:14">
      <c r="A189">
        <v>1989</v>
      </c>
      <c r="B189" t="s">
        <v>14</v>
      </c>
      <c r="C189" t="s">
        <v>15</v>
      </c>
      <c r="D189" s="2">
        <v>0.13200000000000001</v>
      </c>
      <c r="E189">
        <v>6770</v>
      </c>
      <c r="F189">
        <v>0.122</v>
      </c>
      <c r="G189">
        <v>9289</v>
      </c>
      <c r="H189" t="s">
        <v>16</v>
      </c>
      <c r="I189" t="s">
        <v>16</v>
      </c>
      <c r="J189">
        <v>533</v>
      </c>
      <c r="K189">
        <v>7.0699999999999999E-2</v>
      </c>
      <c r="L189">
        <v>9</v>
      </c>
      <c r="M189">
        <v>7</v>
      </c>
      <c r="N189" t="s">
        <v>172</v>
      </c>
    </row>
    <row r="190" spans="1:14">
      <c r="A190">
        <v>1989</v>
      </c>
      <c r="B190" t="s">
        <v>20</v>
      </c>
      <c r="C190" t="s">
        <v>15</v>
      </c>
      <c r="D190" s="2">
        <v>0.14000000000000001</v>
      </c>
      <c r="E190" t="s">
        <v>16</v>
      </c>
      <c r="F190" t="s">
        <v>16</v>
      </c>
      <c r="G190" t="s">
        <v>16</v>
      </c>
      <c r="H190" t="s">
        <v>16</v>
      </c>
      <c r="I190" t="s">
        <v>16</v>
      </c>
      <c r="J190">
        <v>13</v>
      </c>
      <c r="K190">
        <v>7.0699999999999999E-2</v>
      </c>
      <c r="L190">
        <v>36</v>
      </c>
      <c r="M190">
        <v>34</v>
      </c>
      <c r="N190" t="s">
        <v>173</v>
      </c>
    </row>
    <row r="191" spans="1:14">
      <c r="A191">
        <v>1989</v>
      </c>
      <c r="B191" t="s">
        <v>20</v>
      </c>
      <c r="C191" t="s">
        <v>43</v>
      </c>
      <c r="D191" s="2">
        <v>0.1225</v>
      </c>
      <c r="E191">
        <v>12328</v>
      </c>
      <c r="F191">
        <v>0.112</v>
      </c>
      <c r="G191">
        <v>10988</v>
      </c>
      <c r="H191">
        <v>0.115</v>
      </c>
      <c r="I191">
        <v>108965</v>
      </c>
      <c r="J191">
        <v>191</v>
      </c>
      <c r="K191">
        <v>7.0699999999999999E-2</v>
      </c>
      <c r="L191">
        <v>34</v>
      </c>
      <c r="M191">
        <v>30</v>
      </c>
      <c r="N191" t="s">
        <v>174</v>
      </c>
    </row>
    <row r="192" spans="1:14">
      <c r="A192">
        <v>1989</v>
      </c>
      <c r="B192" t="s">
        <v>20</v>
      </c>
      <c r="C192" t="s">
        <v>28</v>
      </c>
      <c r="D192" s="2">
        <v>0.12740000000000001</v>
      </c>
      <c r="E192" t="s">
        <v>16</v>
      </c>
      <c r="F192">
        <v>0.11650000000000001</v>
      </c>
      <c r="G192" t="s">
        <v>16</v>
      </c>
      <c r="H192">
        <v>0.11650000000000001</v>
      </c>
      <c r="I192" t="s">
        <v>16</v>
      </c>
      <c r="J192">
        <v>593</v>
      </c>
      <c r="K192">
        <v>7.0699999999999999E-2</v>
      </c>
      <c r="L192">
        <v>36</v>
      </c>
      <c r="M192">
        <v>32</v>
      </c>
      <c r="N192" t="s">
        <v>175</v>
      </c>
    </row>
    <row r="193" spans="1:14">
      <c r="A193">
        <v>1989</v>
      </c>
      <c r="B193" t="s">
        <v>20</v>
      </c>
      <c r="C193" t="s">
        <v>15</v>
      </c>
      <c r="D193" s="2">
        <v>0.13250000000000001</v>
      </c>
      <c r="E193" t="s">
        <v>16</v>
      </c>
      <c r="F193">
        <v>0.1225</v>
      </c>
      <c r="G193" t="s">
        <v>16</v>
      </c>
      <c r="H193">
        <v>0.1275</v>
      </c>
      <c r="I193" t="s">
        <v>16</v>
      </c>
      <c r="J193">
        <v>335</v>
      </c>
      <c r="K193">
        <v>7.0699999999999999E-2</v>
      </c>
      <c r="L193">
        <v>72</v>
      </c>
      <c r="M193">
        <v>72</v>
      </c>
      <c r="N193" t="s">
        <v>168</v>
      </c>
    </row>
    <row r="194" spans="1:14">
      <c r="A194">
        <v>1989</v>
      </c>
      <c r="B194" t="s">
        <v>20</v>
      </c>
      <c r="C194" t="s">
        <v>15</v>
      </c>
      <c r="D194" s="2">
        <v>0.1275</v>
      </c>
      <c r="E194" t="s">
        <v>16</v>
      </c>
      <c r="F194">
        <v>0.11600000000000001</v>
      </c>
      <c r="G194" t="s">
        <v>16</v>
      </c>
      <c r="H194">
        <v>0.115</v>
      </c>
      <c r="I194" t="s">
        <v>16</v>
      </c>
      <c r="J194">
        <v>435</v>
      </c>
      <c r="K194">
        <v>7.0699999999999999E-2</v>
      </c>
      <c r="L194">
        <v>81</v>
      </c>
      <c r="M194">
        <v>78</v>
      </c>
      <c r="N194" t="s">
        <v>176</v>
      </c>
    </row>
    <row r="195" spans="1:14">
      <c r="A195">
        <v>1989</v>
      </c>
      <c r="B195" t="s">
        <v>20</v>
      </c>
      <c r="C195" t="s">
        <v>28</v>
      </c>
      <c r="D195" s="2">
        <v>0.12690000000000001</v>
      </c>
      <c r="E195" t="s">
        <v>16</v>
      </c>
      <c r="F195" t="s">
        <v>16</v>
      </c>
      <c r="G195" t="s">
        <v>16</v>
      </c>
      <c r="H195">
        <v>0.1157</v>
      </c>
      <c r="I195" t="s">
        <v>16</v>
      </c>
      <c r="J195">
        <v>455</v>
      </c>
      <c r="K195">
        <v>7.0699999999999999E-2</v>
      </c>
      <c r="L195">
        <v>63</v>
      </c>
      <c r="M195">
        <v>60</v>
      </c>
      <c r="N195" t="s">
        <v>177</v>
      </c>
    </row>
    <row r="196" spans="1:14">
      <c r="A196">
        <v>1989</v>
      </c>
      <c r="B196" t="s">
        <v>20</v>
      </c>
      <c r="C196" t="s">
        <v>31</v>
      </c>
      <c r="D196" s="2">
        <v>0.12239999999999999</v>
      </c>
      <c r="E196" t="s">
        <v>16</v>
      </c>
      <c r="F196">
        <v>0.1124</v>
      </c>
      <c r="G196" t="s">
        <v>16</v>
      </c>
      <c r="H196">
        <v>0.1124</v>
      </c>
      <c r="I196" t="s">
        <v>16</v>
      </c>
      <c r="J196">
        <v>471</v>
      </c>
      <c r="K196">
        <v>7.0699999999999999E-2</v>
      </c>
      <c r="L196">
        <v>48</v>
      </c>
      <c r="M196">
        <v>44</v>
      </c>
      <c r="N196" t="s">
        <v>172</v>
      </c>
    </row>
    <row r="197" spans="1:14">
      <c r="A197">
        <v>1989</v>
      </c>
      <c r="B197" t="s">
        <v>20</v>
      </c>
      <c r="C197" t="s">
        <v>103</v>
      </c>
      <c r="D197" s="2">
        <v>0.13800000000000001</v>
      </c>
      <c r="E197" t="s">
        <v>16</v>
      </c>
      <c r="F197">
        <v>0.129</v>
      </c>
      <c r="G197" t="s">
        <v>16</v>
      </c>
      <c r="H197">
        <v>0.13600000000000001</v>
      </c>
      <c r="I197" t="s">
        <v>16</v>
      </c>
      <c r="J197">
        <v>481</v>
      </c>
      <c r="K197">
        <v>7.0699999999999999E-2</v>
      </c>
      <c r="L197">
        <v>34</v>
      </c>
      <c r="M197">
        <v>31</v>
      </c>
      <c r="N197" t="s">
        <v>178</v>
      </c>
    </row>
    <row r="198" spans="1:14">
      <c r="A198">
        <v>1989</v>
      </c>
      <c r="B198" t="s">
        <v>20</v>
      </c>
      <c r="C198" t="s">
        <v>15</v>
      </c>
      <c r="D198" s="2">
        <v>0.128</v>
      </c>
      <c r="E198" t="s">
        <v>16</v>
      </c>
      <c r="F198">
        <v>0.11899999999999999</v>
      </c>
      <c r="G198" t="s">
        <v>16</v>
      </c>
      <c r="H198">
        <v>0.11700000000000001</v>
      </c>
      <c r="I198" t="s">
        <v>16</v>
      </c>
      <c r="J198">
        <v>495</v>
      </c>
      <c r="K198">
        <v>7.0699999999999999E-2</v>
      </c>
      <c r="L198">
        <v>96</v>
      </c>
      <c r="M198">
        <v>93</v>
      </c>
      <c r="N198" t="s">
        <v>179</v>
      </c>
    </row>
    <row r="199" spans="1:14">
      <c r="A199">
        <v>1989</v>
      </c>
      <c r="B199" t="s">
        <v>14</v>
      </c>
      <c r="C199" t="s">
        <v>15</v>
      </c>
      <c r="D199" s="2">
        <v>0.1275</v>
      </c>
      <c r="E199">
        <v>7557</v>
      </c>
      <c r="F199">
        <v>0.1275</v>
      </c>
      <c r="G199">
        <v>10904</v>
      </c>
      <c r="H199">
        <v>0.1275</v>
      </c>
      <c r="I199">
        <v>29186</v>
      </c>
      <c r="J199">
        <v>26</v>
      </c>
      <c r="K199">
        <v>7.1900000000000006E-2</v>
      </c>
      <c r="L199">
        <v>6</v>
      </c>
      <c r="M199">
        <v>2</v>
      </c>
      <c r="N199" t="s">
        <v>180</v>
      </c>
    </row>
    <row r="200" spans="1:14">
      <c r="A200">
        <v>1989</v>
      </c>
      <c r="B200" t="s">
        <v>14</v>
      </c>
      <c r="C200" t="s">
        <v>15</v>
      </c>
      <c r="D200" s="2">
        <v>0.122</v>
      </c>
      <c r="E200">
        <v>49505</v>
      </c>
      <c r="F200">
        <v>0.122</v>
      </c>
      <c r="G200">
        <v>587916</v>
      </c>
      <c r="H200">
        <v>0.122</v>
      </c>
      <c r="I200">
        <v>187971</v>
      </c>
      <c r="J200">
        <v>134</v>
      </c>
      <c r="K200">
        <v>7.1900000000000006E-2</v>
      </c>
      <c r="L200">
        <v>3</v>
      </c>
      <c r="M200">
        <v>1</v>
      </c>
      <c r="N200" t="s">
        <v>181</v>
      </c>
    </row>
    <row r="201" spans="1:14">
      <c r="A201">
        <v>1989</v>
      </c>
      <c r="B201" t="s">
        <v>14</v>
      </c>
      <c r="C201" t="s">
        <v>18</v>
      </c>
      <c r="D201" s="2">
        <v>0.1244</v>
      </c>
      <c r="E201">
        <v>22293</v>
      </c>
      <c r="F201">
        <v>0.1134</v>
      </c>
      <c r="G201">
        <v>24990</v>
      </c>
      <c r="H201">
        <v>0.11940000000000001</v>
      </c>
      <c r="I201">
        <v>212732</v>
      </c>
      <c r="J201">
        <v>147</v>
      </c>
      <c r="K201">
        <v>7.1900000000000006E-2</v>
      </c>
      <c r="L201">
        <v>2</v>
      </c>
      <c r="M201">
        <v>2</v>
      </c>
      <c r="N201" t="s">
        <v>180</v>
      </c>
    </row>
    <row r="202" spans="1:14">
      <c r="A202">
        <v>1989</v>
      </c>
      <c r="B202" t="s">
        <v>14</v>
      </c>
      <c r="C202" t="s">
        <v>18</v>
      </c>
      <c r="D202" s="2">
        <v>0.1275</v>
      </c>
      <c r="E202">
        <v>7573</v>
      </c>
      <c r="F202">
        <v>0.11749999999999999</v>
      </c>
      <c r="G202">
        <v>31585</v>
      </c>
      <c r="H202">
        <v>0.1225</v>
      </c>
      <c r="I202">
        <v>92489</v>
      </c>
      <c r="J202">
        <v>176</v>
      </c>
      <c r="K202">
        <v>7.1900000000000006E-2</v>
      </c>
      <c r="L202">
        <v>7</v>
      </c>
      <c r="M202">
        <v>4</v>
      </c>
      <c r="N202" t="s">
        <v>181</v>
      </c>
    </row>
    <row r="203" spans="1:14">
      <c r="A203">
        <v>1989</v>
      </c>
      <c r="B203" t="s">
        <v>14</v>
      </c>
      <c r="C203" t="s">
        <v>15</v>
      </c>
      <c r="D203" s="2">
        <v>0.122</v>
      </c>
      <c r="E203">
        <v>12768</v>
      </c>
      <c r="F203">
        <v>0.122</v>
      </c>
      <c r="G203">
        <v>14690</v>
      </c>
      <c r="H203">
        <v>0.122</v>
      </c>
      <c r="I203">
        <v>93219</v>
      </c>
      <c r="J203">
        <v>354</v>
      </c>
      <c r="K203">
        <v>7.1900000000000006E-2</v>
      </c>
      <c r="L203">
        <v>5</v>
      </c>
      <c r="M203">
        <v>3</v>
      </c>
      <c r="N203" t="s">
        <v>182</v>
      </c>
    </row>
    <row r="204" spans="1:14">
      <c r="A204">
        <v>1989</v>
      </c>
      <c r="B204" t="s">
        <v>14</v>
      </c>
      <c r="C204" t="s">
        <v>18</v>
      </c>
      <c r="D204" s="2">
        <v>0.155</v>
      </c>
      <c r="E204">
        <v>6053</v>
      </c>
      <c r="F204">
        <v>0.14499999999999999</v>
      </c>
      <c r="G204">
        <v>13407</v>
      </c>
      <c r="H204">
        <v>0.14899999999999999</v>
      </c>
      <c r="I204">
        <v>95927</v>
      </c>
      <c r="J204">
        <v>567</v>
      </c>
      <c r="K204">
        <v>7.1900000000000006E-2</v>
      </c>
      <c r="L204">
        <v>23</v>
      </c>
      <c r="M204">
        <v>19</v>
      </c>
      <c r="N204" t="s">
        <v>183</v>
      </c>
    </row>
    <row r="205" spans="1:14">
      <c r="A205">
        <v>1989</v>
      </c>
      <c r="B205" t="s">
        <v>20</v>
      </c>
      <c r="C205" t="s">
        <v>18</v>
      </c>
      <c r="D205" s="2">
        <v>0.129</v>
      </c>
      <c r="E205" t="s">
        <v>16</v>
      </c>
      <c r="F205">
        <v>0.11799999999999999</v>
      </c>
      <c r="G205" t="s">
        <v>16</v>
      </c>
      <c r="H205">
        <v>0.11899999999999999</v>
      </c>
      <c r="I205" t="s">
        <v>16</v>
      </c>
      <c r="J205">
        <v>201</v>
      </c>
      <c r="K205">
        <v>7.1900000000000006E-2</v>
      </c>
      <c r="L205">
        <v>36</v>
      </c>
      <c r="M205">
        <v>32</v>
      </c>
      <c r="N205" t="s">
        <v>184</v>
      </c>
    </row>
    <row r="206" spans="1:14">
      <c r="A206">
        <v>1989</v>
      </c>
      <c r="B206" t="s">
        <v>20</v>
      </c>
      <c r="C206" t="s">
        <v>15</v>
      </c>
      <c r="D206" s="2">
        <v>0.14000000000000001</v>
      </c>
      <c r="E206">
        <v>12050</v>
      </c>
      <c r="F206">
        <v>0.13</v>
      </c>
      <c r="G206">
        <v>6794</v>
      </c>
      <c r="H206">
        <v>0.13500000000000001</v>
      </c>
      <c r="I206">
        <v>53582</v>
      </c>
      <c r="J206">
        <v>505</v>
      </c>
      <c r="K206">
        <v>7.1900000000000006E-2</v>
      </c>
      <c r="L206">
        <v>49</v>
      </c>
      <c r="M206">
        <v>46</v>
      </c>
      <c r="N206" t="s">
        <v>181</v>
      </c>
    </row>
    <row r="207" spans="1:14">
      <c r="A207">
        <v>1989</v>
      </c>
      <c r="B207" t="s">
        <v>20</v>
      </c>
      <c r="C207" t="s">
        <v>43</v>
      </c>
      <c r="D207" s="2">
        <v>0.12</v>
      </c>
      <c r="E207" t="s">
        <v>16</v>
      </c>
      <c r="F207">
        <v>0.11</v>
      </c>
      <c r="G207" t="s">
        <v>16</v>
      </c>
      <c r="H207">
        <v>0.113</v>
      </c>
      <c r="I207" t="s">
        <v>16</v>
      </c>
      <c r="J207">
        <v>561</v>
      </c>
      <c r="K207">
        <v>7.1900000000000006E-2</v>
      </c>
      <c r="L207">
        <v>59</v>
      </c>
      <c r="M207">
        <v>56</v>
      </c>
      <c r="N207" t="s">
        <v>180</v>
      </c>
    </row>
    <row r="208" spans="1:14">
      <c r="A208">
        <v>1989</v>
      </c>
      <c r="B208" t="s">
        <v>20</v>
      </c>
      <c r="C208" t="s">
        <v>18</v>
      </c>
      <c r="D208" s="2">
        <v>0.129</v>
      </c>
      <c r="E208" t="s">
        <v>16</v>
      </c>
      <c r="F208">
        <v>0.129</v>
      </c>
      <c r="G208" t="s">
        <v>16</v>
      </c>
      <c r="H208">
        <v>0.129</v>
      </c>
      <c r="I208" t="s">
        <v>16</v>
      </c>
      <c r="J208">
        <v>241</v>
      </c>
      <c r="K208">
        <v>7.4200000000000002E-2</v>
      </c>
      <c r="L208">
        <v>54</v>
      </c>
      <c r="M208">
        <v>51</v>
      </c>
      <c r="N208" t="s">
        <v>185</v>
      </c>
    </row>
    <row r="209" spans="1:14">
      <c r="A209">
        <v>1990</v>
      </c>
      <c r="B209" t="s">
        <v>20</v>
      </c>
      <c r="C209" t="s">
        <v>112</v>
      </c>
      <c r="D209" s="2">
        <v>0.1525</v>
      </c>
      <c r="E209" t="s">
        <v>16</v>
      </c>
      <c r="F209">
        <v>0.14499999999999999</v>
      </c>
      <c r="G209" t="s">
        <v>16</v>
      </c>
      <c r="H209">
        <v>0.14899999999999999</v>
      </c>
      <c r="I209" t="s">
        <v>16</v>
      </c>
      <c r="J209">
        <v>101</v>
      </c>
      <c r="K209">
        <v>7.5600000000000001E-2</v>
      </c>
      <c r="L209">
        <v>50</v>
      </c>
      <c r="M209">
        <v>47</v>
      </c>
      <c r="N209" t="s">
        <v>186</v>
      </c>
    </row>
    <row r="210" spans="1:14">
      <c r="A210">
        <v>1990</v>
      </c>
      <c r="B210" t="s">
        <v>20</v>
      </c>
      <c r="C210" t="s">
        <v>18</v>
      </c>
      <c r="D210" s="2">
        <v>0.16500000000000001</v>
      </c>
      <c r="E210" t="s">
        <v>16</v>
      </c>
      <c r="F210">
        <v>0.157</v>
      </c>
      <c r="G210" t="s">
        <v>16</v>
      </c>
      <c r="H210">
        <v>0.16</v>
      </c>
      <c r="I210" t="s">
        <v>16</v>
      </c>
      <c r="J210">
        <v>55</v>
      </c>
      <c r="K210">
        <v>7.7200000000000005E-2</v>
      </c>
      <c r="L210">
        <v>39</v>
      </c>
      <c r="M210">
        <v>37</v>
      </c>
      <c r="N210" t="s">
        <v>187</v>
      </c>
    </row>
    <row r="211" spans="1:14">
      <c r="A211">
        <v>1990</v>
      </c>
      <c r="B211" t="s">
        <v>20</v>
      </c>
      <c r="C211" t="s">
        <v>15</v>
      </c>
      <c r="D211" s="2">
        <v>0.16300000000000001</v>
      </c>
      <c r="E211" t="s">
        <v>16</v>
      </c>
      <c r="F211">
        <v>0.154</v>
      </c>
      <c r="G211" t="s">
        <v>16</v>
      </c>
      <c r="H211">
        <v>0.161</v>
      </c>
      <c r="I211" t="s">
        <v>16</v>
      </c>
      <c r="J211">
        <v>171</v>
      </c>
      <c r="K211">
        <v>7.7200000000000005E-2</v>
      </c>
      <c r="L211">
        <v>64</v>
      </c>
      <c r="M211">
        <v>62</v>
      </c>
      <c r="N211" t="s">
        <v>187</v>
      </c>
    </row>
    <row r="212" spans="1:14">
      <c r="A212">
        <v>1990</v>
      </c>
      <c r="B212" t="s">
        <v>20</v>
      </c>
      <c r="C212" t="s">
        <v>18</v>
      </c>
      <c r="D212" s="2">
        <v>0.16300000000000001</v>
      </c>
      <c r="E212" t="s">
        <v>16</v>
      </c>
      <c r="F212">
        <v>0.152</v>
      </c>
      <c r="G212" t="s">
        <v>16</v>
      </c>
      <c r="H212">
        <v>0.153</v>
      </c>
      <c r="I212" t="s">
        <v>16</v>
      </c>
      <c r="J212">
        <v>201</v>
      </c>
      <c r="K212">
        <v>7.7200000000000005E-2</v>
      </c>
      <c r="L212">
        <v>36</v>
      </c>
      <c r="M212">
        <v>32</v>
      </c>
      <c r="N212" t="s">
        <v>188</v>
      </c>
    </row>
    <row r="213" spans="1:14">
      <c r="A213">
        <v>1990</v>
      </c>
      <c r="B213" t="s">
        <v>20</v>
      </c>
      <c r="C213" t="s">
        <v>15</v>
      </c>
      <c r="D213" s="2">
        <v>0.16300000000000001</v>
      </c>
      <c r="E213" t="s">
        <v>16</v>
      </c>
      <c r="F213">
        <v>0.154</v>
      </c>
      <c r="G213" t="s">
        <v>16</v>
      </c>
      <c r="H213">
        <v>0.161</v>
      </c>
      <c r="I213" t="s">
        <v>16</v>
      </c>
      <c r="J213">
        <v>391</v>
      </c>
      <c r="K213">
        <v>7.7200000000000005E-2</v>
      </c>
      <c r="L213">
        <v>51</v>
      </c>
      <c r="M213">
        <v>50</v>
      </c>
      <c r="N213" t="s">
        <v>187</v>
      </c>
    </row>
    <row r="214" spans="1:14">
      <c r="A214">
        <v>1990</v>
      </c>
      <c r="B214" t="s">
        <v>20</v>
      </c>
      <c r="C214" t="s">
        <v>55</v>
      </c>
      <c r="D214" s="2">
        <v>0.15690000000000001</v>
      </c>
      <c r="E214" t="s">
        <v>16</v>
      </c>
      <c r="F214">
        <v>0.15490000000000001</v>
      </c>
      <c r="G214" t="s">
        <v>16</v>
      </c>
      <c r="H214">
        <v>0.15290000000000001</v>
      </c>
      <c r="I214" t="s">
        <v>16</v>
      </c>
      <c r="J214">
        <v>441</v>
      </c>
      <c r="K214">
        <v>7.7200000000000005E-2</v>
      </c>
      <c r="L214">
        <v>107</v>
      </c>
      <c r="M214">
        <v>105</v>
      </c>
      <c r="N214" t="s">
        <v>189</v>
      </c>
    </row>
    <row r="215" spans="1:14">
      <c r="A215">
        <v>1990</v>
      </c>
      <c r="B215" t="s">
        <v>20</v>
      </c>
      <c r="C215" t="s">
        <v>15</v>
      </c>
      <c r="D215" s="2">
        <v>0.156</v>
      </c>
      <c r="E215" t="s">
        <v>16</v>
      </c>
      <c r="F215">
        <v>0.152</v>
      </c>
      <c r="G215" t="s">
        <v>16</v>
      </c>
      <c r="H215">
        <v>0.152</v>
      </c>
      <c r="I215" t="s">
        <v>16</v>
      </c>
      <c r="J215">
        <v>495</v>
      </c>
      <c r="K215">
        <v>7.7200000000000005E-2</v>
      </c>
      <c r="L215">
        <v>96</v>
      </c>
      <c r="M215">
        <v>93</v>
      </c>
      <c r="N215" t="s">
        <v>190</v>
      </c>
    </row>
    <row r="216" spans="1:14">
      <c r="A216">
        <v>1990</v>
      </c>
      <c r="B216" t="s">
        <v>14</v>
      </c>
      <c r="C216" t="s">
        <v>18</v>
      </c>
      <c r="D216" s="2">
        <v>0.16300000000000001</v>
      </c>
      <c r="E216">
        <v>57705</v>
      </c>
      <c r="F216">
        <v>0.156</v>
      </c>
      <c r="G216">
        <v>138112</v>
      </c>
      <c r="H216">
        <v>0.156</v>
      </c>
      <c r="I216">
        <v>45292</v>
      </c>
      <c r="J216">
        <v>35</v>
      </c>
      <c r="K216">
        <v>7.9699999999999993E-2</v>
      </c>
      <c r="L216">
        <v>16</v>
      </c>
      <c r="M216">
        <v>13</v>
      </c>
      <c r="N216" t="s">
        <v>191</v>
      </c>
    </row>
    <row r="217" spans="1:14">
      <c r="A217">
        <v>1990</v>
      </c>
      <c r="B217" t="s">
        <v>14</v>
      </c>
      <c r="C217" t="s">
        <v>18</v>
      </c>
      <c r="D217" s="2">
        <v>0.16300000000000001</v>
      </c>
      <c r="E217">
        <v>6989</v>
      </c>
      <c r="F217">
        <v>0.152</v>
      </c>
      <c r="G217">
        <v>12614</v>
      </c>
      <c r="H217">
        <v>0.159</v>
      </c>
      <c r="I217">
        <v>96805</v>
      </c>
      <c r="J217">
        <v>567</v>
      </c>
      <c r="K217">
        <v>7.9699999999999993E-2</v>
      </c>
      <c r="L217">
        <v>23</v>
      </c>
      <c r="M217">
        <v>19</v>
      </c>
      <c r="N217" t="s">
        <v>192</v>
      </c>
    </row>
    <row r="218" spans="1:14">
      <c r="A218">
        <v>1990</v>
      </c>
      <c r="B218" t="s">
        <v>14</v>
      </c>
      <c r="C218" t="s">
        <v>15</v>
      </c>
      <c r="D218" s="2">
        <v>0.16569999999999999</v>
      </c>
      <c r="E218">
        <v>14361</v>
      </c>
      <c r="F218">
        <v>0.1573</v>
      </c>
      <c r="G218">
        <v>14299</v>
      </c>
      <c r="H218" t="s">
        <v>16</v>
      </c>
      <c r="I218" t="s">
        <v>16</v>
      </c>
      <c r="J218">
        <v>32</v>
      </c>
      <c r="K218">
        <v>7.9699999999999993E-2</v>
      </c>
      <c r="L218">
        <v>4</v>
      </c>
      <c r="M218">
        <v>2</v>
      </c>
      <c r="N218" t="s">
        <v>193</v>
      </c>
    </row>
    <row r="219" spans="1:14">
      <c r="A219">
        <v>1990</v>
      </c>
      <c r="B219" t="s">
        <v>14</v>
      </c>
      <c r="C219" t="s">
        <v>18</v>
      </c>
      <c r="D219" s="2">
        <v>0.16900000000000001</v>
      </c>
      <c r="E219">
        <v>56384</v>
      </c>
      <c r="F219">
        <v>0.16900000000000001</v>
      </c>
      <c r="G219">
        <v>89372</v>
      </c>
      <c r="H219">
        <v>0.16900000000000001</v>
      </c>
      <c r="I219">
        <v>485518</v>
      </c>
      <c r="J219">
        <v>91</v>
      </c>
      <c r="K219">
        <v>7.9699999999999993E-2</v>
      </c>
      <c r="L219">
        <v>14</v>
      </c>
      <c r="M219">
        <v>11</v>
      </c>
      <c r="N219" t="s">
        <v>191</v>
      </c>
    </row>
    <row r="220" spans="1:14">
      <c r="A220">
        <v>1990</v>
      </c>
      <c r="B220" t="s">
        <v>14</v>
      </c>
      <c r="C220" t="s">
        <v>15</v>
      </c>
      <c r="D220" s="2">
        <v>0.16569999999999999</v>
      </c>
      <c r="E220">
        <v>5348</v>
      </c>
      <c r="F220">
        <v>0.1573</v>
      </c>
      <c r="G220">
        <v>11783</v>
      </c>
      <c r="H220">
        <v>0.1643</v>
      </c>
      <c r="I220">
        <v>72838</v>
      </c>
      <c r="J220">
        <v>147</v>
      </c>
      <c r="K220">
        <v>7.9699999999999993E-2</v>
      </c>
      <c r="L220">
        <v>2</v>
      </c>
      <c r="M220">
        <v>2</v>
      </c>
      <c r="N220" t="s">
        <v>194</v>
      </c>
    </row>
    <row r="221" spans="1:14">
      <c r="A221">
        <v>1990</v>
      </c>
      <c r="B221" t="s">
        <v>14</v>
      </c>
      <c r="C221" t="s">
        <v>18</v>
      </c>
      <c r="D221" s="2">
        <v>0.158</v>
      </c>
      <c r="E221">
        <v>23186</v>
      </c>
      <c r="F221">
        <v>0.14799999999999999</v>
      </c>
      <c r="G221">
        <v>125811</v>
      </c>
      <c r="H221" t="s">
        <v>16</v>
      </c>
      <c r="I221" t="s">
        <v>16</v>
      </c>
      <c r="J221">
        <v>452</v>
      </c>
      <c r="K221">
        <v>7.9699999999999993E-2</v>
      </c>
      <c r="L221">
        <v>4</v>
      </c>
      <c r="M221">
        <v>0</v>
      </c>
      <c r="N221" t="s">
        <v>195</v>
      </c>
    </row>
    <row r="222" spans="1:14">
      <c r="A222">
        <v>1990</v>
      </c>
      <c r="B222" t="s">
        <v>14</v>
      </c>
      <c r="C222" t="s">
        <v>15</v>
      </c>
      <c r="D222" s="2">
        <v>0.16070000000000001</v>
      </c>
      <c r="E222">
        <v>5563</v>
      </c>
      <c r="F222">
        <v>0.15229999999999999</v>
      </c>
      <c r="G222">
        <v>8085</v>
      </c>
      <c r="H222" t="s">
        <v>16</v>
      </c>
      <c r="I222">
        <v>300</v>
      </c>
      <c r="J222">
        <v>533</v>
      </c>
      <c r="K222">
        <v>7.9699999999999993E-2</v>
      </c>
      <c r="L222">
        <v>9</v>
      </c>
      <c r="M222">
        <v>7</v>
      </c>
      <c r="N222" t="s">
        <v>191</v>
      </c>
    </row>
    <row r="223" spans="1:14">
      <c r="A223">
        <v>1990</v>
      </c>
      <c r="B223" t="s">
        <v>20</v>
      </c>
      <c r="C223" t="s">
        <v>18</v>
      </c>
      <c r="D223" s="2">
        <v>0.16500000000000001</v>
      </c>
      <c r="E223" t="s">
        <v>16</v>
      </c>
      <c r="F223">
        <v>0.155</v>
      </c>
      <c r="G223" t="s">
        <v>16</v>
      </c>
      <c r="H223">
        <v>0.16</v>
      </c>
      <c r="I223" t="s">
        <v>16</v>
      </c>
      <c r="J223">
        <v>537</v>
      </c>
      <c r="K223">
        <v>7.9699999999999993E-2</v>
      </c>
      <c r="L223">
        <v>6</v>
      </c>
      <c r="M223">
        <v>2</v>
      </c>
      <c r="N223" t="s">
        <v>196</v>
      </c>
    </row>
    <row r="224" spans="1:14">
      <c r="A224">
        <v>1990</v>
      </c>
      <c r="B224" t="s">
        <v>20</v>
      </c>
      <c r="C224" t="s">
        <v>43</v>
      </c>
      <c r="D224" s="2">
        <v>0.14899999999999999</v>
      </c>
      <c r="E224">
        <v>14949</v>
      </c>
      <c r="F224">
        <v>0.13900000000000001</v>
      </c>
      <c r="G224">
        <v>18806</v>
      </c>
      <c r="H224">
        <v>0.14299999999999999</v>
      </c>
      <c r="I224">
        <v>167733</v>
      </c>
      <c r="J224">
        <v>191</v>
      </c>
      <c r="K224">
        <v>7.9699999999999993E-2</v>
      </c>
      <c r="L224">
        <v>34</v>
      </c>
      <c r="M224">
        <v>30</v>
      </c>
      <c r="N224" t="s">
        <v>197</v>
      </c>
    </row>
    <row r="225" spans="1:14">
      <c r="A225">
        <v>1990</v>
      </c>
      <c r="B225" t="s">
        <v>20</v>
      </c>
      <c r="C225" t="s">
        <v>18</v>
      </c>
      <c r="D225" s="2">
        <v>0.16800000000000001</v>
      </c>
      <c r="E225" t="s">
        <v>16</v>
      </c>
      <c r="F225">
        <v>0.157</v>
      </c>
      <c r="G225" t="s">
        <v>16</v>
      </c>
      <c r="H225">
        <v>0.158</v>
      </c>
      <c r="I225" t="s">
        <v>16</v>
      </c>
      <c r="J225">
        <v>593</v>
      </c>
      <c r="K225">
        <v>7.9699999999999993E-2</v>
      </c>
      <c r="L225">
        <v>36</v>
      </c>
      <c r="M225">
        <v>32</v>
      </c>
      <c r="N225" t="s">
        <v>198</v>
      </c>
    </row>
    <row r="226" spans="1:14">
      <c r="A226">
        <v>1990</v>
      </c>
      <c r="B226" t="s">
        <v>20</v>
      </c>
      <c r="C226" t="s">
        <v>18</v>
      </c>
      <c r="D226" s="2">
        <v>0.16900000000000001</v>
      </c>
      <c r="E226" t="s">
        <v>16</v>
      </c>
      <c r="F226">
        <v>0.16900000000000001</v>
      </c>
      <c r="G226" t="s">
        <v>16</v>
      </c>
      <c r="H226" t="s">
        <v>16</v>
      </c>
      <c r="I226" t="s">
        <v>16</v>
      </c>
      <c r="J226">
        <v>241</v>
      </c>
      <c r="K226">
        <v>7.9699999999999993E-2</v>
      </c>
      <c r="L226">
        <v>54</v>
      </c>
      <c r="M226">
        <v>51</v>
      </c>
      <c r="N226" t="s">
        <v>195</v>
      </c>
    </row>
    <row r="227" spans="1:14">
      <c r="A227">
        <v>1990</v>
      </c>
      <c r="B227" t="s">
        <v>14</v>
      </c>
      <c r="C227" t="s">
        <v>15</v>
      </c>
      <c r="D227" s="2">
        <v>0.16</v>
      </c>
      <c r="E227">
        <v>55589</v>
      </c>
      <c r="F227">
        <v>0.16</v>
      </c>
      <c r="G227">
        <v>203280</v>
      </c>
      <c r="H227">
        <v>0.16</v>
      </c>
      <c r="I227">
        <v>546546</v>
      </c>
      <c r="J227">
        <v>134</v>
      </c>
      <c r="K227">
        <v>7.9699999999999993E-2</v>
      </c>
      <c r="L227">
        <v>3</v>
      </c>
      <c r="M227">
        <v>1</v>
      </c>
      <c r="N227" t="s">
        <v>199</v>
      </c>
    </row>
    <row r="228" spans="1:14">
      <c r="A228">
        <v>1990</v>
      </c>
      <c r="B228" t="s">
        <v>14</v>
      </c>
      <c r="C228" t="s">
        <v>18</v>
      </c>
      <c r="D228" s="2" t="s">
        <v>16</v>
      </c>
      <c r="E228" t="s">
        <v>16</v>
      </c>
      <c r="F228">
        <v>0.154</v>
      </c>
      <c r="G228">
        <v>27434</v>
      </c>
      <c r="H228">
        <v>0.16400000000000001</v>
      </c>
      <c r="I228">
        <v>450</v>
      </c>
      <c r="J228">
        <v>157</v>
      </c>
      <c r="K228">
        <v>7.9699999999999993E-2</v>
      </c>
      <c r="L228">
        <v>12</v>
      </c>
      <c r="M228">
        <v>8</v>
      </c>
      <c r="N228" t="s">
        <v>192</v>
      </c>
    </row>
    <row r="229" spans="1:14">
      <c r="A229">
        <v>1990</v>
      </c>
      <c r="B229" t="s">
        <v>20</v>
      </c>
      <c r="C229" t="s">
        <v>15</v>
      </c>
      <c r="D229" s="2">
        <v>0.16300000000000001</v>
      </c>
      <c r="E229" t="s">
        <v>16</v>
      </c>
      <c r="F229">
        <v>0.154</v>
      </c>
      <c r="G229" t="s">
        <v>16</v>
      </c>
      <c r="H229">
        <v>0.161</v>
      </c>
      <c r="I229" t="s">
        <v>16</v>
      </c>
      <c r="J229">
        <v>335</v>
      </c>
      <c r="K229">
        <v>7.9699999999999993E-2</v>
      </c>
      <c r="L229">
        <v>72</v>
      </c>
      <c r="M229">
        <v>72</v>
      </c>
      <c r="N229" t="s">
        <v>200</v>
      </c>
    </row>
    <row r="230" spans="1:14">
      <c r="A230">
        <v>1990</v>
      </c>
      <c r="B230" t="s">
        <v>20</v>
      </c>
      <c r="C230" t="s">
        <v>15</v>
      </c>
      <c r="D230" s="2">
        <v>0.151</v>
      </c>
      <c r="E230" t="s">
        <v>16</v>
      </c>
      <c r="F230">
        <v>0.14499999999999999</v>
      </c>
      <c r="G230" t="s">
        <v>16</v>
      </c>
      <c r="H230">
        <v>0.14499999999999999</v>
      </c>
      <c r="I230" t="s">
        <v>16</v>
      </c>
      <c r="J230">
        <v>435</v>
      </c>
      <c r="K230">
        <v>7.9699999999999993E-2</v>
      </c>
      <c r="L230">
        <v>81</v>
      </c>
      <c r="M230">
        <v>78</v>
      </c>
      <c r="N230" t="s">
        <v>201</v>
      </c>
    </row>
    <row r="231" spans="1:14">
      <c r="A231">
        <v>1990</v>
      </c>
      <c r="B231" t="s">
        <v>20</v>
      </c>
      <c r="C231" t="s">
        <v>15</v>
      </c>
      <c r="D231" s="2">
        <v>0.16569999999999999</v>
      </c>
      <c r="E231" t="s">
        <v>16</v>
      </c>
      <c r="F231" t="s">
        <v>16</v>
      </c>
      <c r="G231" t="s">
        <v>16</v>
      </c>
      <c r="H231">
        <v>0.1643</v>
      </c>
      <c r="I231" t="s">
        <v>16</v>
      </c>
      <c r="J231">
        <v>455</v>
      </c>
      <c r="K231">
        <v>7.9699999999999993E-2</v>
      </c>
      <c r="L231">
        <v>63</v>
      </c>
      <c r="M231">
        <v>60</v>
      </c>
      <c r="N231" t="s">
        <v>202</v>
      </c>
    </row>
    <row r="232" spans="1:14">
      <c r="A232">
        <v>1990</v>
      </c>
      <c r="B232" t="s">
        <v>20</v>
      </c>
      <c r="C232" t="s">
        <v>18</v>
      </c>
      <c r="D232" s="2">
        <v>0.16900000000000001</v>
      </c>
      <c r="E232" t="s">
        <v>16</v>
      </c>
      <c r="F232">
        <v>0.161</v>
      </c>
      <c r="G232" t="s">
        <v>16</v>
      </c>
      <c r="H232">
        <v>0.161</v>
      </c>
      <c r="I232" t="s">
        <v>16</v>
      </c>
      <c r="J232">
        <v>471</v>
      </c>
      <c r="K232">
        <v>7.9699999999999993E-2</v>
      </c>
      <c r="L232">
        <v>48</v>
      </c>
      <c r="M232">
        <v>44</v>
      </c>
      <c r="N232" t="s">
        <v>202</v>
      </c>
    </row>
    <row r="233" spans="1:14">
      <c r="A233">
        <v>1990</v>
      </c>
      <c r="B233" t="s">
        <v>20</v>
      </c>
      <c r="C233" t="s">
        <v>103</v>
      </c>
      <c r="D233" s="2">
        <v>0.15</v>
      </c>
      <c r="E233" t="s">
        <v>16</v>
      </c>
      <c r="F233">
        <v>0.14499999999999999</v>
      </c>
      <c r="G233" t="s">
        <v>16</v>
      </c>
      <c r="H233">
        <v>0.15</v>
      </c>
      <c r="I233" t="s">
        <v>16</v>
      </c>
      <c r="J233">
        <v>481</v>
      </c>
      <c r="K233">
        <v>7.9699999999999993E-2</v>
      </c>
      <c r="L233">
        <v>34</v>
      </c>
      <c r="M233">
        <v>31</v>
      </c>
      <c r="N233" t="s">
        <v>199</v>
      </c>
    </row>
    <row r="234" spans="1:14">
      <c r="A234">
        <v>1990</v>
      </c>
      <c r="B234" t="s">
        <v>20</v>
      </c>
      <c r="C234" t="s">
        <v>15</v>
      </c>
      <c r="D234" s="2">
        <v>0.16300000000000001</v>
      </c>
      <c r="E234" t="s">
        <v>16</v>
      </c>
      <c r="F234">
        <v>0.154</v>
      </c>
      <c r="G234" t="s">
        <v>16</v>
      </c>
      <c r="H234" t="s">
        <v>16</v>
      </c>
      <c r="I234" t="s">
        <v>16</v>
      </c>
      <c r="J234">
        <v>13</v>
      </c>
      <c r="K234">
        <v>8.2299999999999998E-2</v>
      </c>
      <c r="L234">
        <v>36</v>
      </c>
      <c r="M234">
        <v>34</v>
      </c>
      <c r="N234" t="s">
        <v>203</v>
      </c>
    </row>
    <row r="235" spans="1:14">
      <c r="A235">
        <v>1990</v>
      </c>
      <c r="B235" t="s">
        <v>14</v>
      </c>
      <c r="C235" t="s">
        <v>18</v>
      </c>
      <c r="D235" s="2">
        <v>0.16500000000000001</v>
      </c>
      <c r="E235">
        <v>6272</v>
      </c>
      <c r="F235">
        <v>0.157</v>
      </c>
      <c r="G235">
        <v>28893</v>
      </c>
      <c r="H235">
        <v>0.16400000000000001</v>
      </c>
      <c r="I235">
        <v>98422</v>
      </c>
      <c r="J235">
        <v>176</v>
      </c>
      <c r="K235">
        <v>8.2299999999999998E-2</v>
      </c>
      <c r="L235">
        <v>7</v>
      </c>
      <c r="M235">
        <v>4</v>
      </c>
      <c r="N235" t="s">
        <v>204</v>
      </c>
    </row>
    <row r="236" spans="1:14">
      <c r="A236">
        <v>1990</v>
      </c>
      <c r="B236" t="s">
        <v>14</v>
      </c>
      <c r="C236" t="s">
        <v>15</v>
      </c>
      <c r="D236" s="2">
        <v>0.16</v>
      </c>
      <c r="E236">
        <v>15331</v>
      </c>
      <c r="F236">
        <v>0.16</v>
      </c>
      <c r="G236">
        <v>7412</v>
      </c>
      <c r="H236">
        <v>0.16</v>
      </c>
      <c r="I236">
        <v>4919</v>
      </c>
      <c r="J236">
        <v>26</v>
      </c>
      <c r="K236">
        <v>8.2299999999999998E-2</v>
      </c>
      <c r="L236">
        <v>6</v>
      </c>
      <c r="M236">
        <v>2</v>
      </c>
      <c r="N236" t="s">
        <v>204</v>
      </c>
    </row>
    <row r="237" spans="1:14">
      <c r="A237">
        <v>1990</v>
      </c>
      <c r="B237" t="s">
        <v>14</v>
      </c>
      <c r="C237" t="s">
        <v>18</v>
      </c>
      <c r="D237" s="2">
        <v>0.16300000000000001</v>
      </c>
      <c r="E237">
        <v>27413</v>
      </c>
      <c r="F237">
        <v>0.158</v>
      </c>
      <c r="G237">
        <v>198268</v>
      </c>
      <c r="H237">
        <v>0.158</v>
      </c>
      <c r="I237">
        <v>1002790</v>
      </c>
      <c r="J237">
        <v>291</v>
      </c>
      <c r="K237">
        <v>8.2299999999999998E-2</v>
      </c>
      <c r="L237">
        <v>15</v>
      </c>
      <c r="M237">
        <v>11</v>
      </c>
      <c r="N237" t="s">
        <v>205</v>
      </c>
    </row>
    <row r="238" spans="1:14">
      <c r="A238">
        <v>1990</v>
      </c>
      <c r="B238" t="s">
        <v>14</v>
      </c>
      <c r="C238" t="s">
        <v>15</v>
      </c>
      <c r="D238" s="2">
        <v>0.16</v>
      </c>
      <c r="E238">
        <v>12525</v>
      </c>
      <c r="F238">
        <v>0.16</v>
      </c>
      <c r="G238">
        <v>13044</v>
      </c>
      <c r="H238">
        <v>0.16</v>
      </c>
      <c r="I238">
        <v>107857</v>
      </c>
      <c r="J238">
        <v>354</v>
      </c>
      <c r="K238">
        <v>8.2299999999999998E-2</v>
      </c>
      <c r="L238">
        <v>5</v>
      </c>
      <c r="M238">
        <v>3</v>
      </c>
      <c r="N238" t="s">
        <v>206</v>
      </c>
    </row>
    <row r="239" spans="1:14">
      <c r="A239">
        <v>1990</v>
      </c>
      <c r="B239" t="s">
        <v>20</v>
      </c>
      <c r="C239" t="s">
        <v>15</v>
      </c>
      <c r="D239" s="2">
        <v>0.16300000000000001</v>
      </c>
      <c r="E239" t="s">
        <v>16</v>
      </c>
      <c r="F239">
        <v>0.154</v>
      </c>
      <c r="G239" t="s">
        <v>16</v>
      </c>
      <c r="H239">
        <v>0.16</v>
      </c>
      <c r="I239" t="s">
        <v>16</v>
      </c>
      <c r="J239">
        <v>505</v>
      </c>
      <c r="K239">
        <v>8.2299999999999998E-2</v>
      </c>
      <c r="L239">
        <v>49</v>
      </c>
      <c r="M239">
        <v>46</v>
      </c>
      <c r="N239" t="s">
        <v>207</v>
      </c>
    </row>
    <row r="240" spans="1:14">
      <c r="A240">
        <v>1990</v>
      </c>
      <c r="B240" t="s">
        <v>20</v>
      </c>
      <c r="C240" t="s">
        <v>43</v>
      </c>
      <c r="D240" s="2">
        <v>0.1525</v>
      </c>
      <c r="E240" t="s">
        <v>16</v>
      </c>
      <c r="F240">
        <v>0.14499999999999999</v>
      </c>
      <c r="G240" t="s">
        <v>16</v>
      </c>
      <c r="H240">
        <v>0.14899999999999999</v>
      </c>
      <c r="I240" t="s">
        <v>16</v>
      </c>
      <c r="J240">
        <v>561</v>
      </c>
      <c r="K240">
        <v>8.2299999999999998E-2</v>
      </c>
      <c r="L240">
        <v>59</v>
      </c>
      <c r="M240">
        <v>56</v>
      </c>
      <c r="N240" t="s">
        <v>205</v>
      </c>
    </row>
    <row r="241" spans="1:14">
      <c r="A241">
        <v>1990</v>
      </c>
      <c r="B241" t="s">
        <v>14</v>
      </c>
      <c r="C241" t="s">
        <v>18</v>
      </c>
      <c r="D241" s="2">
        <v>0.153</v>
      </c>
      <c r="E241">
        <v>13485</v>
      </c>
      <c r="F241">
        <v>0.14299999999999999</v>
      </c>
      <c r="G241">
        <v>18794</v>
      </c>
      <c r="H241">
        <v>0.151</v>
      </c>
      <c r="I241">
        <v>126359</v>
      </c>
      <c r="J241">
        <v>147</v>
      </c>
      <c r="K241">
        <v>7.8200000000000006E-2</v>
      </c>
      <c r="L241">
        <v>2</v>
      </c>
      <c r="M241">
        <v>2</v>
      </c>
      <c r="N241" t="s">
        <v>208</v>
      </c>
    </row>
    <row r="242" spans="1:14">
      <c r="A242">
        <v>1991</v>
      </c>
      <c r="B242" t="s">
        <v>14</v>
      </c>
      <c r="C242" t="s">
        <v>18</v>
      </c>
      <c r="D242" s="2">
        <v>0.14949999999999999</v>
      </c>
      <c r="E242">
        <v>4073</v>
      </c>
      <c r="F242">
        <v>0.13850000000000001</v>
      </c>
      <c r="G242">
        <v>18546</v>
      </c>
      <c r="H242">
        <v>0.14549999999999999</v>
      </c>
      <c r="I242">
        <v>79710</v>
      </c>
      <c r="J242">
        <v>567</v>
      </c>
      <c r="K242">
        <v>6.4899999999999999E-2</v>
      </c>
      <c r="L242">
        <v>23</v>
      </c>
      <c r="M242">
        <v>19</v>
      </c>
      <c r="N242" t="s">
        <v>209</v>
      </c>
    </row>
    <row r="243" spans="1:14">
      <c r="A243">
        <v>1991</v>
      </c>
      <c r="B243" t="s">
        <v>14</v>
      </c>
      <c r="C243" t="s">
        <v>15</v>
      </c>
      <c r="D243" s="2">
        <v>0.14000000000000001</v>
      </c>
      <c r="E243">
        <v>14361</v>
      </c>
      <c r="F243">
        <v>0.1333</v>
      </c>
      <c r="G243">
        <v>14299</v>
      </c>
      <c r="H243" t="s">
        <v>16</v>
      </c>
      <c r="I243" t="s">
        <v>16</v>
      </c>
      <c r="J243">
        <v>32</v>
      </c>
      <c r="K243">
        <v>6.4899999999999999E-2</v>
      </c>
      <c r="L243">
        <v>4</v>
      </c>
      <c r="M243">
        <v>2</v>
      </c>
      <c r="N243" t="s">
        <v>210</v>
      </c>
    </row>
    <row r="244" spans="1:14">
      <c r="A244">
        <v>1991</v>
      </c>
      <c r="B244" t="s">
        <v>14</v>
      </c>
      <c r="C244" t="s">
        <v>15</v>
      </c>
      <c r="D244" s="2">
        <v>0.13689999999999999</v>
      </c>
      <c r="E244">
        <v>80675</v>
      </c>
      <c r="F244">
        <v>0.12989999999999999</v>
      </c>
      <c r="G244">
        <v>184638</v>
      </c>
      <c r="H244">
        <v>0.158</v>
      </c>
      <c r="I244">
        <v>993193</v>
      </c>
      <c r="J244">
        <v>35</v>
      </c>
      <c r="K244">
        <v>6.6000000000000003E-2</v>
      </c>
      <c r="L244">
        <v>16</v>
      </c>
      <c r="M244">
        <v>13</v>
      </c>
      <c r="N244" t="s">
        <v>211</v>
      </c>
    </row>
    <row r="245" spans="1:14">
      <c r="A245">
        <v>1991</v>
      </c>
      <c r="B245" t="s">
        <v>14</v>
      </c>
      <c r="C245" t="s">
        <v>18</v>
      </c>
      <c r="D245" s="2">
        <v>0.15</v>
      </c>
      <c r="E245">
        <v>48782</v>
      </c>
      <c r="F245">
        <v>0.15</v>
      </c>
      <c r="G245">
        <v>108182</v>
      </c>
      <c r="H245">
        <v>0.15</v>
      </c>
      <c r="I245">
        <v>507034</v>
      </c>
      <c r="J245">
        <v>91</v>
      </c>
      <c r="K245">
        <v>6.6000000000000003E-2</v>
      </c>
      <c r="L245">
        <v>14</v>
      </c>
      <c r="M245">
        <v>11</v>
      </c>
      <c r="N245" t="s">
        <v>212</v>
      </c>
    </row>
    <row r="246" spans="1:14">
      <c r="A246">
        <v>1991</v>
      </c>
      <c r="B246" t="s">
        <v>14</v>
      </c>
      <c r="C246" t="s">
        <v>18</v>
      </c>
      <c r="D246" s="2">
        <v>0.13780000000000001</v>
      </c>
      <c r="E246">
        <v>23186</v>
      </c>
      <c r="F246">
        <v>0.1278</v>
      </c>
      <c r="G246">
        <v>125811</v>
      </c>
      <c r="H246" t="s">
        <v>16</v>
      </c>
      <c r="I246" t="s">
        <v>16</v>
      </c>
      <c r="J246">
        <v>452</v>
      </c>
      <c r="K246">
        <v>6.6000000000000003E-2</v>
      </c>
      <c r="L246">
        <v>4</v>
      </c>
      <c r="M246">
        <v>0</v>
      </c>
      <c r="N246" t="s">
        <v>213</v>
      </c>
    </row>
    <row r="247" spans="1:14">
      <c r="A247">
        <v>1991</v>
      </c>
      <c r="B247" t="s">
        <v>14</v>
      </c>
      <c r="C247" t="s">
        <v>15</v>
      </c>
      <c r="D247" s="2">
        <v>0.14499999999999999</v>
      </c>
      <c r="E247">
        <v>3383</v>
      </c>
      <c r="F247">
        <v>0.13500000000000001</v>
      </c>
      <c r="G247">
        <v>8318</v>
      </c>
      <c r="H247">
        <v>0.14099999999999999</v>
      </c>
      <c r="I247">
        <v>21558</v>
      </c>
      <c r="J247">
        <v>533</v>
      </c>
      <c r="K247">
        <v>6.6000000000000003E-2</v>
      </c>
      <c r="L247">
        <v>9</v>
      </c>
      <c r="M247">
        <v>7</v>
      </c>
      <c r="N247" t="s">
        <v>214</v>
      </c>
    </row>
    <row r="248" spans="1:14">
      <c r="A248">
        <v>1991</v>
      </c>
      <c r="B248" t="s">
        <v>20</v>
      </c>
      <c r="C248" t="s">
        <v>43</v>
      </c>
      <c r="D248" s="2">
        <v>0.14699999999999999</v>
      </c>
      <c r="E248">
        <v>14743</v>
      </c>
      <c r="F248">
        <v>0.13400000000000001</v>
      </c>
      <c r="G248">
        <v>16045</v>
      </c>
      <c r="H248">
        <v>0.13500000000000001</v>
      </c>
      <c r="I248">
        <v>151224</v>
      </c>
      <c r="J248">
        <v>191</v>
      </c>
      <c r="K248">
        <v>6.6000000000000003E-2</v>
      </c>
      <c r="L248">
        <v>34</v>
      </c>
      <c r="M248">
        <v>30</v>
      </c>
      <c r="N248" t="s">
        <v>211</v>
      </c>
    </row>
    <row r="249" spans="1:14">
      <c r="A249">
        <v>1991</v>
      </c>
      <c r="B249" t="s">
        <v>14</v>
      </c>
      <c r="C249" t="s">
        <v>15</v>
      </c>
      <c r="D249" s="2">
        <v>0.1386</v>
      </c>
      <c r="E249">
        <v>53560</v>
      </c>
      <c r="F249">
        <v>0.1386</v>
      </c>
      <c r="G249">
        <v>304341</v>
      </c>
      <c r="H249">
        <v>0.1386</v>
      </c>
      <c r="I249">
        <v>447513</v>
      </c>
      <c r="J249">
        <v>134</v>
      </c>
      <c r="K249">
        <v>6.6000000000000003E-2</v>
      </c>
      <c r="L249">
        <v>3</v>
      </c>
      <c r="M249">
        <v>1</v>
      </c>
      <c r="N249" t="s">
        <v>215</v>
      </c>
    </row>
    <row r="250" spans="1:14">
      <c r="A250">
        <v>1991</v>
      </c>
      <c r="B250" t="s">
        <v>14</v>
      </c>
      <c r="C250" t="s">
        <v>18</v>
      </c>
      <c r="D250" s="2">
        <v>0.13800000000000001</v>
      </c>
      <c r="E250">
        <v>5114</v>
      </c>
      <c r="F250" t="s">
        <v>16</v>
      </c>
      <c r="G250" t="s">
        <v>16</v>
      </c>
      <c r="H250">
        <v>0.13800000000000001</v>
      </c>
      <c r="I250">
        <v>209391</v>
      </c>
      <c r="J250">
        <v>157</v>
      </c>
      <c r="K250">
        <v>6.6000000000000003E-2</v>
      </c>
      <c r="L250">
        <v>12</v>
      </c>
      <c r="M250">
        <v>8</v>
      </c>
      <c r="N250" t="s">
        <v>216</v>
      </c>
    </row>
    <row r="251" spans="1:14">
      <c r="A251">
        <v>1991</v>
      </c>
      <c r="B251" t="s">
        <v>20</v>
      </c>
      <c r="C251" t="s">
        <v>15</v>
      </c>
      <c r="D251" s="2">
        <v>0.14199999999999999</v>
      </c>
      <c r="E251" t="s">
        <v>16</v>
      </c>
      <c r="F251">
        <v>0.13300000000000001</v>
      </c>
      <c r="G251" t="s">
        <v>16</v>
      </c>
      <c r="H251">
        <v>0.14099999999999999</v>
      </c>
      <c r="I251" t="s">
        <v>16</v>
      </c>
      <c r="J251">
        <v>335</v>
      </c>
      <c r="K251">
        <v>6.6000000000000003E-2</v>
      </c>
      <c r="L251">
        <v>72</v>
      </c>
      <c r="M251">
        <v>72</v>
      </c>
      <c r="N251" t="s">
        <v>217</v>
      </c>
    </row>
    <row r="252" spans="1:14">
      <c r="A252">
        <v>1991</v>
      </c>
      <c r="B252" t="s">
        <v>20</v>
      </c>
      <c r="C252" t="s">
        <v>15</v>
      </c>
      <c r="D252" s="2">
        <v>0.154</v>
      </c>
      <c r="E252" t="s">
        <v>16</v>
      </c>
      <c r="F252">
        <v>0.14399999999999999</v>
      </c>
      <c r="G252" t="s">
        <v>16</v>
      </c>
      <c r="H252">
        <v>0.154</v>
      </c>
      <c r="I252" t="s">
        <v>16</v>
      </c>
      <c r="J252">
        <v>481</v>
      </c>
      <c r="K252">
        <v>6.6000000000000003E-2</v>
      </c>
      <c r="L252">
        <v>34</v>
      </c>
      <c r="M252">
        <v>31</v>
      </c>
      <c r="N252" t="s">
        <v>215</v>
      </c>
    </row>
    <row r="253" spans="1:14">
      <c r="A253">
        <v>1991</v>
      </c>
      <c r="B253" t="s">
        <v>14</v>
      </c>
      <c r="C253" t="s">
        <v>18</v>
      </c>
      <c r="D253" s="2">
        <v>0.14199999999999999</v>
      </c>
      <c r="E253">
        <v>19563</v>
      </c>
      <c r="F253">
        <v>0.13300000000000001</v>
      </c>
      <c r="G253">
        <v>31067</v>
      </c>
      <c r="H253">
        <v>0.14099999999999999</v>
      </c>
      <c r="I253">
        <v>192027</v>
      </c>
      <c r="J253">
        <v>147</v>
      </c>
      <c r="K253">
        <v>6.7799999999999999E-2</v>
      </c>
      <c r="L253">
        <v>2</v>
      </c>
      <c r="M253">
        <v>2</v>
      </c>
      <c r="N253" t="s">
        <v>218</v>
      </c>
    </row>
    <row r="254" spans="1:14">
      <c r="A254">
        <v>1991</v>
      </c>
      <c r="B254" t="s">
        <v>14</v>
      </c>
      <c r="C254" t="s">
        <v>18</v>
      </c>
      <c r="D254" s="2">
        <v>0.14199999999999999</v>
      </c>
      <c r="E254">
        <v>6305</v>
      </c>
      <c r="F254">
        <v>0.13300000000000001</v>
      </c>
      <c r="G254">
        <v>29165</v>
      </c>
      <c r="H254">
        <v>0.14099999999999999</v>
      </c>
      <c r="I254">
        <v>97113</v>
      </c>
      <c r="J254">
        <v>176</v>
      </c>
      <c r="K254">
        <v>6.7799999999999999E-2</v>
      </c>
      <c r="L254">
        <v>7</v>
      </c>
      <c r="M254">
        <v>4</v>
      </c>
      <c r="N254" t="s">
        <v>219</v>
      </c>
    </row>
    <row r="255" spans="1:14">
      <c r="A255">
        <v>1991</v>
      </c>
      <c r="B255" t="s">
        <v>14</v>
      </c>
      <c r="C255" t="s">
        <v>15</v>
      </c>
      <c r="D255" s="2">
        <v>0.13600000000000001</v>
      </c>
      <c r="E255">
        <v>15331</v>
      </c>
      <c r="F255">
        <v>0.13</v>
      </c>
      <c r="G255">
        <v>7412</v>
      </c>
      <c r="H255">
        <v>0.13700000000000001</v>
      </c>
      <c r="I255">
        <v>4919</v>
      </c>
      <c r="J255">
        <v>26</v>
      </c>
      <c r="K255">
        <v>6.7799999999999999E-2</v>
      </c>
      <c r="L255">
        <v>6</v>
      </c>
      <c r="M255">
        <v>2</v>
      </c>
      <c r="N255" t="s">
        <v>219</v>
      </c>
    </row>
    <row r="256" spans="1:14">
      <c r="A256">
        <v>1991</v>
      </c>
      <c r="B256" t="s">
        <v>14</v>
      </c>
      <c r="C256" t="s">
        <v>18</v>
      </c>
      <c r="D256" s="2">
        <v>0.14199999999999999</v>
      </c>
      <c r="E256">
        <v>17680</v>
      </c>
      <c r="F256">
        <v>0.13800000000000001</v>
      </c>
      <c r="G256">
        <v>218894</v>
      </c>
      <c r="H256">
        <v>0.13800000000000001</v>
      </c>
      <c r="I256">
        <v>937849</v>
      </c>
      <c r="J256">
        <v>291</v>
      </c>
      <c r="K256">
        <v>6.7799999999999999E-2</v>
      </c>
      <c r="L256">
        <v>15</v>
      </c>
      <c r="M256">
        <v>11</v>
      </c>
      <c r="N256" t="s">
        <v>220</v>
      </c>
    </row>
    <row r="257" spans="1:14">
      <c r="A257">
        <v>1991</v>
      </c>
      <c r="B257" t="s">
        <v>14</v>
      </c>
      <c r="C257" t="s">
        <v>15</v>
      </c>
      <c r="D257" s="2">
        <v>0.13750000000000001</v>
      </c>
      <c r="E257">
        <v>11900</v>
      </c>
      <c r="F257">
        <v>0.13750000000000001</v>
      </c>
      <c r="G257">
        <v>14341</v>
      </c>
      <c r="H257">
        <v>0.13750000000000001</v>
      </c>
      <c r="I257">
        <v>94012</v>
      </c>
      <c r="J257">
        <v>354</v>
      </c>
      <c r="K257">
        <v>6.7799999999999999E-2</v>
      </c>
      <c r="L257">
        <v>5</v>
      </c>
      <c r="M257">
        <v>3</v>
      </c>
      <c r="N257" t="s">
        <v>221</v>
      </c>
    </row>
    <row r="258" spans="1:14">
      <c r="A258">
        <v>1983</v>
      </c>
      <c r="B258" t="s">
        <v>20</v>
      </c>
      <c r="C258" t="s">
        <v>222</v>
      </c>
      <c r="D258" s="2" t="s">
        <v>16</v>
      </c>
      <c r="E258" t="s">
        <v>16</v>
      </c>
      <c r="F258">
        <v>0.13200000000000001</v>
      </c>
      <c r="G258" t="s">
        <v>16</v>
      </c>
      <c r="H258">
        <v>0.13400000000000001</v>
      </c>
      <c r="I258" t="s">
        <v>16</v>
      </c>
      <c r="J258">
        <v>281</v>
      </c>
      <c r="K258">
        <v>7.6399999999999996E-2</v>
      </c>
      <c r="L258">
        <v>88</v>
      </c>
      <c r="M258">
        <v>85</v>
      </c>
      <c r="N258" t="s">
        <v>223</v>
      </c>
    </row>
    <row r="259" spans="1:14">
      <c r="A259">
        <v>1983</v>
      </c>
      <c r="B259" t="s">
        <v>20</v>
      </c>
      <c r="C259" t="s">
        <v>28</v>
      </c>
      <c r="D259" s="2">
        <v>0.1525</v>
      </c>
      <c r="E259" t="s">
        <v>16</v>
      </c>
      <c r="F259">
        <v>0.15</v>
      </c>
      <c r="G259" t="s">
        <v>16</v>
      </c>
      <c r="H259">
        <v>0.15</v>
      </c>
      <c r="I259" t="s">
        <v>16</v>
      </c>
      <c r="J259">
        <v>365</v>
      </c>
      <c r="K259">
        <v>7.6399999999999996E-2</v>
      </c>
      <c r="L259">
        <v>97</v>
      </c>
      <c r="M259">
        <v>94</v>
      </c>
      <c r="N259" t="s">
        <v>224</v>
      </c>
    </row>
    <row r="260" spans="1:14">
      <c r="A260">
        <v>1983</v>
      </c>
      <c r="B260" t="s">
        <v>20</v>
      </c>
      <c r="C260" t="s">
        <v>100</v>
      </c>
      <c r="D260" s="2" t="s">
        <v>16</v>
      </c>
      <c r="E260" t="s">
        <v>16</v>
      </c>
      <c r="F260">
        <v>0.115</v>
      </c>
      <c r="G260" t="s">
        <v>16</v>
      </c>
      <c r="H260">
        <v>0.1148</v>
      </c>
      <c r="I260" t="s">
        <v>16</v>
      </c>
      <c r="J260">
        <v>71</v>
      </c>
      <c r="K260">
        <v>7.6399999999999996E-2</v>
      </c>
      <c r="L260">
        <v>105</v>
      </c>
      <c r="M260">
        <v>101</v>
      </c>
      <c r="N260" t="s">
        <v>225</v>
      </c>
    </row>
    <row r="261" spans="1:14">
      <c r="A261">
        <v>1983</v>
      </c>
      <c r="B261" t="s">
        <v>20</v>
      </c>
      <c r="C261" t="s">
        <v>55</v>
      </c>
      <c r="D261" s="2">
        <v>0.1275</v>
      </c>
      <c r="E261" t="s">
        <v>16</v>
      </c>
      <c r="F261">
        <v>0.12</v>
      </c>
      <c r="G261" t="s">
        <v>16</v>
      </c>
      <c r="H261">
        <v>0.12</v>
      </c>
      <c r="I261" t="s">
        <v>16</v>
      </c>
      <c r="J261">
        <v>121</v>
      </c>
      <c r="K261">
        <v>7.6399999999999996E-2</v>
      </c>
      <c r="L261">
        <v>81</v>
      </c>
      <c r="M261">
        <v>78</v>
      </c>
      <c r="N261" t="s">
        <v>32</v>
      </c>
    </row>
    <row r="262" spans="1:14">
      <c r="A262">
        <v>1983</v>
      </c>
      <c r="B262" t="s">
        <v>20</v>
      </c>
      <c r="C262" t="s">
        <v>18</v>
      </c>
      <c r="D262" s="2">
        <v>0.11700000000000001</v>
      </c>
      <c r="E262" t="s">
        <v>16</v>
      </c>
      <c r="F262" t="s">
        <v>16</v>
      </c>
      <c r="G262" t="s">
        <v>16</v>
      </c>
      <c r="H262" t="s">
        <v>16</v>
      </c>
      <c r="I262" t="s">
        <v>16</v>
      </c>
      <c r="J262">
        <v>165</v>
      </c>
      <c r="K262">
        <v>7.6399999999999996E-2</v>
      </c>
      <c r="L262">
        <v>77</v>
      </c>
      <c r="M262">
        <v>73</v>
      </c>
      <c r="N262" t="s">
        <v>24</v>
      </c>
    </row>
    <row r="263" spans="1:14">
      <c r="A263">
        <v>1983</v>
      </c>
      <c r="B263" t="s">
        <v>20</v>
      </c>
      <c r="C263" t="s">
        <v>31</v>
      </c>
      <c r="D263" s="2">
        <v>0.16800000000000001</v>
      </c>
      <c r="E263" t="s">
        <v>16</v>
      </c>
      <c r="F263">
        <v>0.16800000000000001</v>
      </c>
      <c r="G263" t="s">
        <v>16</v>
      </c>
      <c r="H263">
        <v>0.16800000000000001</v>
      </c>
      <c r="I263" t="s">
        <v>16</v>
      </c>
      <c r="J263">
        <v>195</v>
      </c>
      <c r="K263">
        <v>7.6399999999999996E-2</v>
      </c>
      <c r="L263">
        <v>106</v>
      </c>
      <c r="M263">
        <v>103</v>
      </c>
      <c r="N263" t="s">
        <v>226</v>
      </c>
    </row>
    <row r="264" spans="1:14">
      <c r="A264">
        <v>1983</v>
      </c>
      <c r="B264" t="s">
        <v>20</v>
      </c>
      <c r="C264" t="s">
        <v>227</v>
      </c>
      <c r="D264" s="2">
        <v>0.1295</v>
      </c>
      <c r="E264" t="s">
        <v>16</v>
      </c>
      <c r="F264">
        <v>0.1195</v>
      </c>
      <c r="G264" t="s">
        <v>16</v>
      </c>
      <c r="H264">
        <v>0.1295</v>
      </c>
      <c r="I264" t="s">
        <v>16</v>
      </c>
      <c r="J264">
        <v>255</v>
      </c>
      <c r="K264">
        <v>7.6399999999999996E-2</v>
      </c>
      <c r="L264">
        <v>62</v>
      </c>
      <c r="M264">
        <v>58</v>
      </c>
      <c r="N264" t="s">
        <v>228</v>
      </c>
    </row>
    <row r="265" spans="1:14">
      <c r="A265">
        <v>1983</v>
      </c>
      <c r="B265" t="s">
        <v>20</v>
      </c>
      <c r="C265" t="s">
        <v>31</v>
      </c>
      <c r="D265" s="2">
        <v>0.16800000000000001</v>
      </c>
      <c r="E265" t="s">
        <v>16</v>
      </c>
      <c r="F265">
        <v>0.16800000000000001</v>
      </c>
      <c r="G265" t="s">
        <v>16</v>
      </c>
      <c r="H265">
        <v>0.16800000000000001</v>
      </c>
      <c r="I265" t="s">
        <v>16</v>
      </c>
      <c r="J265">
        <v>341</v>
      </c>
      <c r="K265">
        <v>7.6399999999999996E-2</v>
      </c>
      <c r="L265">
        <v>113</v>
      </c>
      <c r="M265">
        <v>110</v>
      </c>
      <c r="N265" t="s">
        <v>24</v>
      </c>
    </row>
    <row r="266" spans="1:14">
      <c r="A266">
        <v>1983</v>
      </c>
      <c r="B266" t="s">
        <v>20</v>
      </c>
      <c r="C266" t="s">
        <v>28</v>
      </c>
      <c r="D266" s="2">
        <v>0.1235</v>
      </c>
      <c r="E266" t="s">
        <v>16</v>
      </c>
      <c r="F266">
        <v>0.111</v>
      </c>
      <c r="G266" t="s">
        <v>16</v>
      </c>
      <c r="H266">
        <v>0.107</v>
      </c>
      <c r="I266" t="s">
        <v>16</v>
      </c>
      <c r="J266">
        <v>41</v>
      </c>
      <c r="K266">
        <v>7.6300000000000007E-2</v>
      </c>
      <c r="L266">
        <v>65</v>
      </c>
      <c r="M266">
        <v>62</v>
      </c>
      <c r="N266" t="s">
        <v>36</v>
      </c>
    </row>
    <row r="267" spans="1:14">
      <c r="A267">
        <v>1983</v>
      </c>
      <c r="B267" t="s">
        <v>20</v>
      </c>
      <c r="C267" t="s">
        <v>28</v>
      </c>
      <c r="D267" s="2">
        <v>0.1235</v>
      </c>
      <c r="E267" t="s">
        <v>16</v>
      </c>
      <c r="F267">
        <v>0.1125</v>
      </c>
      <c r="G267" t="s">
        <v>16</v>
      </c>
      <c r="H267">
        <v>0.1125</v>
      </c>
      <c r="I267" t="s">
        <v>16</v>
      </c>
      <c r="J267">
        <v>478</v>
      </c>
      <c r="K267">
        <v>7.6300000000000007E-2</v>
      </c>
      <c r="L267">
        <v>65</v>
      </c>
      <c r="M267">
        <v>62</v>
      </c>
      <c r="N267" t="s">
        <v>229</v>
      </c>
    </row>
    <row r="268" spans="1:14">
      <c r="A268">
        <v>1983</v>
      </c>
      <c r="B268" t="s">
        <v>20</v>
      </c>
      <c r="C268" t="s">
        <v>55</v>
      </c>
      <c r="D268" s="2" t="s">
        <v>16</v>
      </c>
      <c r="E268" t="s">
        <v>16</v>
      </c>
      <c r="F268">
        <v>0.11</v>
      </c>
      <c r="G268" t="s">
        <v>16</v>
      </c>
      <c r="H268" t="s">
        <v>16</v>
      </c>
      <c r="I268" t="s">
        <v>16</v>
      </c>
      <c r="J268">
        <v>181</v>
      </c>
      <c r="K268">
        <v>7.6300000000000007E-2</v>
      </c>
      <c r="L268">
        <v>69</v>
      </c>
      <c r="M268">
        <v>65</v>
      </c>
      <c r="N268" t="s">
        <v>42</v>
      </c>
    </row>
    <row r="269" spans="1:14">
      <c r="A269">
        <v>1983</v>
      </c>
      <c r="B269" t="s">
        <v>20</v>
      </c>
      <c r="C269" t="s">
        <v>230</v>
      </c>
      <c r="D269" s="2">
        <v>0.14000000000000001</v>
      </c>
      <c r="E269" t="s">
        <v>16</v>
      </c>
      <c r="F269">
        <v>0.1105</v>
      </c>
      <c r="G269" t="s">
        <v>16</v>
      </c>
      <c r="H269">
        <v>0.123</v>
      </c>
      <c r="I269" t="s">
        <v>16</v>
      </c>
      <c r="J269">
        <v>275</v>
      </c>
      <c r="K269">
        <v>7.6300000000000007E-2</v>
      </c>
      <c r="L269">
        <v>92</v>
      </c>
      <c r="M269">
        <v>89</v>
      </c>
      <c r="N269" t="s">
        <v>42</v>
      </c>
    </row>
    <row r="270" spans="1:14">
      <c r="A270">
        <v>1983</v>
      </c>
      <c r="B270" t="s">
        <v>20</v>
      </c>
      <c r="C270" t="s">
        <v>31</v>
      </c>
      <c r="D270" s="2">
        <v>0.1295</v>
      </c>
      <c r="E270" t="s">
        <v>16</v>
      </c>
      <c r="F270">
        <v>0.1295</v>
      </c>
      <c r="G270" t="s">
        <v>16</v>
      </c>
      <c r="H270">
        <v>0.1245</v>
      </c>
      <c r="I270" t="s">
        <v>16</v>
      </c>
      <c r="J270">
        <v>375</v>
      </c>
      <c r="K270">
        <v>7.6300000000000007E-2</v>
      </c>
      <c r="L270">
        <v>118</v>
      </c>
      <c r="M270">
        <v>113</v>
      </c>
      <c r="N270" t="s">
        <v>38</v>
      </c>
    </row>
    <row r="271" spans="1:14">
      <c r="A271">
        <v>1983</v>
      </c>
      <c r="B271" t="s">
        <v>20</v>
      </c>
      <c r="C271" t="s">
        <v>31</v>
      </c>
      <c r="D271" s="2" t="s">
        <v>16</v>
      </c>
      <c r="E271" t="s">
        <v>16</v>
      </c>
      <c r="F271">
        <v>0.1138</v>
      </c>
      <c r="G271" t="s">
        <v>16</v>
      </c>
      <c r="H271">
        <v>0.1138</v>
      </c>
      <c r="I271" t="s">
        <v>16</v>
      </c>
      <c r="J271">
        <v>525</v>
      </c>
      <c r="K271">
        <v>7.6300000000000007E-2</v>
      </c>
      <c r="L271">
        <v>65</v>
      </c>
      <c r="M271">
        <v>61</v>
      </c>
      <c r="N271" t="s">
        <v>35</v>
      </c>
    </row>
    <row r="272" spans="1:14">
      <c r="A272">
        <v>1983</v>
      </c>
      <c r="B272" t="s">
        <v>20</v>
      </c>
      <c r="C272" t="s">
        <v>31</v>
      </c>
      <c r="D272" s="2">
        <v>0.1295</v>
      </c>
      <c r="E272" t="s">
        <v>16</v>
      </c>
      <c r="F272">
        <v>0.1295</v>
      </c>
      <c r="G272" t="s">
        <v>16</v>
      </c>
      <c r="H272">
        <v>0.1245</v>
      </c>
      <c r="I272" t="s">
        <v>16</v>
      </c>
      <c r="J272">
        <v>375</v>
      </c>
      <c r="K272">
        <v>7.6399999999999996E-2</v>
      </c>
      <c r="L272">
        <v>118</v>
      </c>
      <c r="M272">
        <v>113</v>
      </c>
      <c r="N272" t="s">
        <v>231</v>
      </c>
    </row>
    <row r="273" spans="1:14">
      <c r="A273">
        <v>1984</v>
      </c>
      <c r="B273" t="s">
        <v>20</v>
      </c>
      <c r="C273" t="s">
        <v>28</v>
      </c>
      <c r="D273" s="2">
        <v>0.1106</v>
      </c>
      <c r="E273" t="s">
        <v>16</v>
      </c>
      <c r="F273" t="s">
        <v>16</v>
      </c>
      <c r="G273" t="s">
        <v>16</v>
      </c>
      <c r="H273">
        <v>0.1095</v>
      </c>
      <c r="I273" t="s">
        <v>16</v>
      </c>
      <c r="J273">
        <v>165</v>
      </c>
      <c r="K273">
        <v>7.3999999999999996E-2</v>
      </c>
      <c r="L273">
        <v>77</v>
      </c>
      <c r="M273">
        <v>73</v>
      </c>
      <c r="N273" t="s">
        <v>232</v>
      </c>
    </row>
    <row r="274" spans="1:14">
      <c r="A274">
        <v>1984</v>
      </c>
      <c r="B274" t="s">
        <v>20</v>
      </c>
      <c r="C274" t="s">
        <v>31</v>
      </c>
      <c r="D274" s="2">
        <v>0.16800000000000001</v>
      </c>
      <c r="E274" t="s">
        <v>16</v>
      </c>
      <c r="F274">
        <v>0.16800000000000001</v>
      </c>
      <c r="G274" t="s">
        <v>16</v>
      </c>
      <c r="H274">
        <v>0.16800000000000001</v>
      </c>
      <c r="I274" t="s">
        <v>16</v>
      </c>
      <c r="J274">
        <v>195</v>
      </c>
      <c r="K274">
        <v>7.3999999999999996E-2</v>
      </c>
      <c r="L274">
        <v>106</v>
      </c>
      <c r="M274">
        <v>103</v>
      </c>
      <c r="N274" t="s">
        <v>232</v>
      </c>
    </row>
    <row r="275" spans="1:14">
      <c r="A275">
        <v>1984</v>
      </c>
      <c r="B275" t="s">
        <v>20</v>
      </c>
      <c r="C275" t="s">
        <v>230</v>
      </c>
      <c r="D275" s="2">
        <v>0.14000000000000001</v>
      </c>
      <c r="E275" t="s">
        <v>16</v>
      </c>
      <c r="F275">
        <v>0.11899999999999999</v>
      </c>
      <c r="G275" t="s">
        <v>16</v>
      </c>
      <c r="H275">
        <v>0.12</v>
      </c>
      <c r="I275" t="s">
        <v>16</v>
      </c>
      <c r="J275">
        <v>275</v>
      </c>
      <c r="K275">
        <v>7.3999999999999996E-2</v>
      </c>
      <c r="L275">
        <v>92</v>
      </c>
      <c r="M275">
        <v>89</v>
      </c>
      <c r="N275" t="s">
        <v>233</v>
      </c>
    </row>
    <row r="276" spans="1:14">
      <c r="A276">
        <v>1984</v>
      </c>
      <c r="B276" t="s">
        <v>20</v>
      </c>
      <c r="C276" t="s">
        <v>28</v>
      </c>
      <c r="D276" s="2" t="s">
        <v>16</v>
      </c>
      <c r="E276" t="s">
        <v>16</v>
      </c>
      <c r="F276">
        <v>0.125</v>
      </c>
      <c r="G276" t="s">
        <v>16</v>
      </c>
      <c r="H276">
        <v>0.123</v>
      </c>
      <c r="I276" t="s">
        <v>16</v>
      </c>
      <c r="J276">
        <v>281</v>
      </c>
      <c r="K276">
        <v>7.3999999999999996E-2</v>
      </c>
      <c r="L276">
        <v>88</v>
      </c>
      <c r="M276">
        <v>85</v>
      </c>
      <c r="N276" t="s">
        <v>234</v>
      </c>
    </row>
    <row r="277" spans="1:14">
      <c r="A277">
        <v>1984</v>
      </c>
      <c r="B277" t="s">
        <v>20</v>
      </c>
      <c r="C277" t="s">
        <v>28</v>
      </c>
      <c r="D277" s="2">
        <v>0.1295</v>
      </c>
      <c r="E277" t="s">
        <v>16</v>
      </c>
      <c r="F277">
        <v>0.123</v>
      </c>
      <c r="G277" t="s">
        <v>16</v>
      </c>
      <c r="H277">
        <v>0.123</v>
      </c>
      <c r="I277" t="s">
        <v>16</v>
      </c>
      <c r="J277">
        <v>365</v>
      </c>
      <c r="K277">
        <v>7.3999999999999996E-2</v>
      </c>
      <c r="L277">
        <v>97</v>
      </c>
      <c r="M277">
        <v>94</v>
      </c>
      <c r="N277" t="s">
        <v>235</v>
      </c>
    </row>
    <row r="278" spans="1:14">
      <c r="A278">
        <v>1984</v>
      </c>
      <c r="B278" t="s">
        <v>20</v>
      </c>
      <c r="C278" t="s">
        <v>230</v>
      </c>
      <c r="D278" s="2" t="s">
        <v>16</v>
      </c>
      <c r="E278" t="s">
        <v>16</v>
      </c>
      <c r="F278">
        <v>0.11700000000000001</v>
      </c>
      <c r="G278" t="s">
        <v>16</v>
      </c>
      <c r="H278">
        <v>0.1168</v>
      </c>
      <c r="I278" t="s">
        <v>16</v>
      </c>
      <c r="J278">
        <v>71</v>
      </c>
      <c r="K278">
        <v>7.4099999999999999E-2</v>
      </c>
      <c r="L278">
        <v>105</v>
      </c>
      <c r="M278">
        <v>101</v>
      </c>
      <c r="N278" t="s">
        <v>236</v>
      </c>
    </row>
    <row r="279" spans="1:14">
      <c r="A279">
        <v>1984</v>
      </c>
      <c r="B279" t="s">
        <v>20</v>
      </c>
      <c r="C279" t="s">
        <v>100</v>
      </c>
      <c r="D279" s="2">
        <v>0.125</v>
      </c>
      <c r="E279" t="s">
        <v>16</v>
      </c>
      <c r="F279">
        <v>0.11749999999999999</v>
      </c>
      <c r="G279" t="s">
        <v>16</v>
      </c>
      <c r="H279">
        <v>0.11799999999999999</v>
      </c>
      <c r="I279" t="s">
        <v>16</v>
      </c>
      <c r="J279">
        <v>121</v>
      </c>
      <c r="K279">
        <v>7.4099999999999999E-2</v>
      </c>
      <c r="L279">
        <v>81</v>
      </c>
      <c r="M279">
        <v>78</v>
      </c>
      <c r="N279" t="s">
        <v>56</v>
      </c>
    </row>
    <row r="280" spans="1:14">
      <c r="A280">
        <v>1984</v>
      </c>
      <c r="B280" t="s">
        <v>20</v>
      </c>
      <c r="C280" t="s">
        <v>227</v>
      </c>
      <c r="D280" s="2" t="s">
        <v>16</v>
      </c>
      <c r="E280" t="s">
        <v>16</v>
      </c>
      <c r="F280">
        <v>0.1195</v>
      </c>
      <c r="G280" t="s">
        <v>16</v>
      </c>
      <c r="H280">
        <v>0.1265</v>
      </c>
      <c r="I280" t="s">
        <v>16</v>
      </c>
      <c r="J280">
        <v>255</v>
      </c>
      <c r="K280">
        <v>7.4099999999999999E-2</v>
      </c>
      <c r="L280">
        <v>62</v>
      </c>
      <c r="M280">
        <v>58</v>
      </c>
      <c r="N280" t="s">
        <v>237</v>
      </c>
    </row>
    <row r="281" spans="1:14">
      <c r="A281">
        <v>1984</v>
      </c>
      <c r="B281" t="s">
        <v>20</v>
      </c>
      <c r="C281" t="s">
        <v>31</v>
      </c>
      <c r="D281" s="2">
        <v>0.16800000000000001</v>
      </c>
      <c r="E281" t="s">
        <v>16</v>
      </c>
      <c r="F281">
        <v>0.16800000000000001</v>
      </c>
      <c r="G281" t="s">
        <v>16</v>
      </c>
      <c r="H281">
        <v>0.16800000000000001</v>
      </c>
      <c r="I281" t="s">
        <v>16</v>
      </c>
      <c r="J281">
        <v>341</v>
      </c>
      <c r="K281">
        <v>7.4099999999999999E-2</v>
      </c>
      <c r="L281">
        <v>113</v>
      </c>
      <c r="M281">
        <v>110</v>
      </c>
      <c r="N281" t="s">
        <v>236</v>
      </c>
    </row>
    <row r="282" spans="1:14">
      <c r="A282">
        <v>1984</v>
      </c>
      <c r="B282" t="s">
        <v>20</v>
      </c>
      <c r="C282" t="s">
        <v>55</v>
      </c>
      <c r="D282" s="2">
        <v>0.1265</v>
      </c>
      <c r="E282" t="s">
        <v>16</v>
      </c>
      <c r="F282">
        <v>0.125</v>
      </c>
      <c r="G282" t="s">
        <v>16</v>
      </c>
      <c r="H282">
        <v>0.1225</v>
      </c>
      <c r="I282" t="s">
        <v>16</v>
      </c>
      <c r="J282">
        <v>601</v>
      </c>
      <c r="K282">
        <v>7.4099999999999999E-2</v>
      </c>
      <c r="L282">
        <v>77</v>
      </c>
      <c r="M282">
        <v>73</v>
      </c>
      <c r="N282" t="s">
        <v>56</v>
      </c>
    </row>
    <row r="283" spans="1:14">
      <c r="A283">
        <v>1984</v>
      </c>
      <c r="B283" t="s">
        <v>20</v>
      </c>
      <c r="C283" t="s">
        <v>28</v>
      </c>
      <c r="D283" s="2">
        <v>0.12</v>
      </c>
      <c r="E283" t="s">
        <v>16</v>
      </c>
      <c r="F283">
        <v>0.111</v>
      </c>
      <c r="G283" t="s">
        <v>16</v>
      </c>
      <c r="H283">
        <v>0.11</v>
      </c>
      <c r="I283" t="s">
        <v>16</v>
      </c>
      <c r="J283">
        <v>41</v>
      </c>
      <c r="K283">
        <v>7.4099999999999999E-2</v>
      </c>
      <c r="L283">
        <v>65</v>
      </c>
      <c r="M283">
        <v>62</v>
      </c>
      <c r="N283" t="s">
        <v>238</v>
      </c>
    </row>
    <row r="284" spans="1:14">
      <c r="A284">
        <v>1984</v>
      </c>
      <c r="B284" t="s">
        <v>20</v>
      </c>
      <c r="C284" t="s">
        <v>28</v>
      </c>
      <c r="D284" s="2">
        <v>0.12</v>
      </c>
      <c r="E284" t="s">
        <v>16</v>
      </c>
      <c r="F284">
        <v>0.111</v>
      </c>
      <c r="G284" t="s">
        <v>16</v>
      </c>
      <c r="H284">
        <v>0.11</v>
      </c>
      <c r="I284" t="s">
        <v>16</v>
      </c>
      <c r="J284">
        <v>478</v>
      </c>
      <c r="K284">
        <v>7.4099999999999999E-2</v>
      </c>
      <c r="L284">
        <v>65</v>
      </c>
      <c r="M284">
        <v>62</v>
      </c>
      <c r="N284" t="s">
        <v>64</v>
      </c>
    </row>
    <row r="285" spans="1:14">
      <c r="A285">
        <v>1984</v>
      </c>
      <c r="B285" t="s">
        <v>20</v>
      </c>
      <c r="C285" t="s">
        <v>55</v>
      </c>
      <c r="D285" s="2" t="s">
        <v>16</v>
      </c>
      <c r="E285" t="s">
        <v>16</v>
      </c>
      <c r="F285">
        <v>0.11</v>
      </c>
      <c r="G285" t="s">
        <v>16</v>
      </c>
      <c r="H285" t="s">
        <v>16</v>
      </c>
      <c r="I285" t="s">
        <v>16</v>
      </c>
      <c r="J285">
        <v>181</v>
      </c>
      <c r="K285">
        <v>7.4099999999999999E-2</v>
      </c>
      <c r="L285">
        <v>69</v>
      </c>
      <c r="M285">
        <v>65</v>
      </c>
      <c r="N285" t="s">
        <v>63</v>
      </c>
    </row>
    <row r="286" spans="1:14">
      <c r="A286">
        <v>1984</v>
      </c>
      <c r="B286" t="s">
        <v>20</v>
      </c>
      <c r="C286" t="s">
        <v>31</v>
      </c>
      <c r="D286" s="2">
        <v>0.13450000000000001</v>
      </c>
      <c r="E286" t="s">
        <v>16</v>
      </c>
      <c r="F286">
        <v>0.13450000000000001</v>
      </c>
      <c r="G286" t="s">
        <v>16</v>
      </c>
      <c r="H286">
        <v>0.13450000000000001</v>
      </c>
      <c r="I286" t="s">
        <v>16</v>
      </c>
      <c r="J286">
        <v>375</v>
      </c>
      <c r="K286">
        <v>7.4099999999999999E-2</v>
      </c>
      <c r="L286">
        <v>118</v>
      </c>
      <c r="M286">
        <v>113</v>
      </c>
      <c r="N286" t="s">
        <v>62</v>
      </c>
    </row>
    <row r="287" spans="1:14">
      <c r="A287">
        <v>1984</v>
      </c>
      <c r="B287" t="s">
        <v>20</v>
      </c>
      <c r="C287" t="s">
        <v>132</v>
      </c>
      <c r="D287" s="2" t="s">
        <v>16</v>
      </c>
      <c r="E287" t="s">
        <v>16</v>
      </c>
      <c r="F287">
        <v>0.1132</v>
      </c>
      <c r="G287" t="s">
        <v>16</v>
      </c>
      <c r="H287">
        <v>0.1132</v>
      </c>
      <c r="I287" t="s">
        <v>16</v>
      </c>
      <c r="J287">
        <v>525</v>
      </c>
      <c r="K287">
        <v>7.4099999999999999E-2</v>
      </c>
      <c r="L287">
        <v>65</v>
      </c>
      <c r="M287">
        <v>61</v>
      </c>
      <c r="N287" t="s">
        <v>60</v>
      </c>
    </row>
    <row r="288" spans="1:14">
      <c r="A288">
        <v>1985</v>
      </c>
      <c r="B288" t="s">
        <v>20</v>
      </c>
      <c r="C288" t="s">
        <v>28</v>
      </c>
      <c r="D288" s="2">
        <v>0.12</v>
      </c>
      <c r="E288" t="s">
        <v>16</v>
      </c>
      <c r="F288">
        <v>0.111</v>
      </c>
      <c r="G288" t="s">
        <v>16</v>
      </c>
      <c r="H288">
        <v>0.109</v>
      </c>
      <c r="I288" t="s">
        <v>16</v>
      </c>
      <c r="J288">
        <v>41</v>
      </c>
      <c r="K288">
        <v>7.1599999999999997E-2</v>
      </c>
      <c r="L288">
        <v>65</v>
      </c>
      <c r="M288">
        <v>62</v>
      </c>
      <c r="N288" t="s">
        <v>66</v>
      </c>
    </row>
    <row r="289" spans="1:14">
      <c r="A289">
        <v>1985</v>
      </c>
      <c r="B289" t="s">
        <v>20</v>
      </c>
      <c r="C289" t="s">
        <v>100</v>
      </c>
      <c r="D289" s="2">
        <v>0.1125</v>
      </c>
      <c r="E289" t="s">
        <v>16</v>
      </c>
      <c r="F289">
        <v>0.105</v>
      </c>
      <c r="G289" t="s">
        <v>16</v>
      </c>
      <c r="H289">
        <v>0.10299999999999999</v>
      </c>
      <c r="I289" t="s">
        <v>16</v>
      </c>
      <c r="J289">
        <v>121</v>
      </c>
      <c r="K289">
        <v>7.1599999999999997E-2</v>
      </c>
      <c r="L289">
        <v>81</v>
      </c>
      <c r="M289">
        <v>78</v>
      </c>
      <c r="N289" t="s">
        <v>239</v>
      </c>
    </row>
    <row r="290" spans="1:14">
      <c r="A290">
        <v>1985</v>
      </c>
      <c r="B290" t="s">
        <v>20</v>
      </c>
      <c r="C290" t="s">
        <v>28</v>
      </c>
      <c r="D290" s="2">
        <v>0.10879999999999999</v>
      </c>
      <c r="E290" t="s">
        <v>16</v>
      </c>
      <c r="F290" t="s">
        <v>16</v>
      </c>
      <c r="G290" t="s">
        <v>16</v>
      </c>
      <c r="H290">
        <v>0.1056</v>
      </c>
      <c r="I290" t="s">
        <v>16</v>
      </c>
      <c r="J290">
        <v>165</v>
      </c>
      <c r="K290">
        <v>7.1599999999999997E-2</v>
      </c>
      <c r="L290">
        <v>77</v>
      </c>
      <c r="M290">
        <v>73</v>
      </c>
      <c r="N290" t="s">
        <v>240</v>
      </c>
    </row>
    <row r="291" spans="1:14">
      <c r="A291">
        <v>1985</v>
      </c>
      <c r="B291" t="s">
        <v>20</v>
      </c>
      <c r="C291" t="s">
        <v>31</v>
      </c>
      <c r="D291" s="2">
        <v>0.16800000000000001</v>
      </c>
      <c r="E291" t="s">
        <v>16</v>
      </c>
      <c r="F291">
        <v>0.16800000000000001</v>
      </c>
      <c r="G291" t="s">
        <v>16</v>
      </c>
      <c r="H291">
        <v>0.16800000000000001</v>
      </c>
      <c r="I291" t="s">
        <v>16</v>
      </c>
      <c r="J291">
        <v>195</v>
      </c>
      <c r="K291">
        <v>7.1599999999999997E-2</v>
      </c>
      <c r="L291">
        <v>106</v>
      </c>
      <c r="M291">
        <v>103</v>
      </c>
      <c r="N291" t="s">
        <v>241</v>
      </c>
    </row>
    <row r="292" spans="1:14">
      <c r="A292">
        <v>1985</v>
      </c>
      <c r="B292" t="s">
        <v>20</v>
      </c>
      <c r="C292" t="s">
        <v>28</v>
      </c>
      <c r="D292" s="2" t="s">
        <v>16</v>
      </c>
      <c r="E292" t="s">
        <v>16</v>
      </c>
      <c r="F292">
        <v>0.12</v>
      </c>
      <c r="G292" t="s">
        <v>16</v>
      </c>
      <c r="H292">
        <v>0.11749999999999999</v>
      </c>
      <c r="I292" t="s">
        <v>16</v>
      </c>
      <c r="J292">
        <v>281</v>
      </c>
      <c r="K292">
        <v>7.1599999999999997E-2</v>
      </c>
      <c r="L292">
        <v>88</v>
      </c>
      <c r="M292">
        <v>85</v>
      </c>
      <c r="N292" t="s">
        <v>242</v>
      </c>
    </row>
    <row r="293" spans="1:14">
      <c r="A293">
        <v>1985</v>
      </c>
      <c r="B293" t="s">
        <v>20</v>
      </c>
      <c r="C293" t="s">
        <v>55</v>
      </c>
      <c r="D293" s="2">
        <v>0.125</v>
      </c>
      <c r="E293" t="s">
        <v>16</v>
      </c>
      <c r="F293">
        <v>0.115</v>
      </c>
      <c r="G293" t="s">
        <v>16</v>
      </c>
      <c r="H293" t="s">
        <v>16</v>
      </c>
      <c r="I293" t="s">
        <v>16</v>
      </c>
      <c r="J293">
        <v>11</v>
      </c>
      <c r="K293">
        <v>7.0699999999999999E-2</v>
      </c>
      <c r="L293">
        <v>80</v>
      </c>
      <c r="M293">
        <v>76</v>
      </c>
      <c r="N293" t="s">
        <v>72</v>
      </c>
    </row>
    <row r="294" spans="1:14">
      <c r="A294">
        <v>1985</v>
      </c>
      <c r="B294" t="s">
        <v>20</v>
      </c>
      <c r="C294" t="s">
        <v>243</v>
      </c>
      <c r="D294" s="2" t="s">
        <v>16</v>
      </c>
      <c r="E294" t="s">
        <v>16</v>
      </c>
      <c r="F294">
        <v>0.1153</v>
      </c>
      <c r="G294" t="s">
        <v>16</v>
      </c>
      <c r="H294">
        <v>0.1153</v>
      </c>
      <c r="I294" t="s">
        <v>16</v>
      </c>
      <c r="J294">
        <v>71</v>
      </c>
      <c r="K294">
        <v>7.0699999999999999E-2</v>
      </c>
      <c r="L294">
        <v>105</v>
      </c>
      <c r="M294">
        <v>101</v>
      </c>
      <c r="N294" t="s">
        <v>244</v>
      </c>
    </row>
    <row r="295" spans="1:14">
      <c r="A295">
        <v>1985</v>
      </c>
      <c r="B295" t="s">
        <v>20</v>
      </c>
      <c r="C295" t="s">
        <v>31</v>
      </c>
      <c r="D295" s="2">
        <v>0.16800000000000001</v>
      </c>
      <c r="E295" t="s">
        <v>16</v>
      </c>
      <c r="F295">
        <v>0.16800000000000001</v>
      </c>
      <c r="G295" t="s">
        <v>16</v>
      </c>
      <c r="H295">
        <v>0.16800000000000001</v>
      </c>
      <c r="I295" t="s">
        <v>16</v>
      </c>
      <c r="J295">
        <v>341</v>
      </c>
      <c r="K295">
        <v>7.0699999999999999E-2</v>
      </c>
      <c r="L295">
        <v>113</v>
      </c>
      <c r="M295">
        <v>110</v>
      </c>
      <c r="N295" t="s">
        <v>244</v>
      </c>
    </row>
    <row r="296" spans="1:14">
      <c r="A296">
        <v>1985</v>
      </c>
      <c r="B296" t="s">
        <v>20</v>
      </c>
      <c r="C296" t="s">
        <v>28</v>
      </c>
      <c r="D296" s="2">
        <v>0.125</v>
      </c>
      <c r="E296" t="s">
        <v>16</v>
      </c>
      <c r="F296">
        <v>0.11749999999999999</v>
      </c>
      <c r="G296" t="s">
        <v>16</v>
      </c>
      <c r="H296">
        <v>0.115</v>
      </c>
      <c r="I296" t="s">
        <v>16</v>
      </c>
      <c r="J296">
        <v>365</v>
      </c>
      <c r="K296">
        <v>7.0699999999999999E-2</v>
      </c>
      <c r="L296">
        <v>97</v>
      </c>
      <c r="M296">
        <v>94</v>
      </c>
      <c r="N296" t="s">
        <v>75</v>
      </c>
    </row>
    <row r="297" spans="1:14">
      <c r="A297">
        <v>1985</v>
      </c>
      <c r="B297" t="s">
        <v>20</v>
      </c>
      <c r="C297" t="s">
        <v>28</v>
      </c>
      <c r="D297" s="2">
        <v>0.125</v>
      </c>
      <c r="E297" t="s">
        <v>16</v>
      </c>
      <c r="F297">
        <v>0.12</v>
      </c>
      <c r="G297" t="s">
        <v>16</v>
      </c>
      <c r="H297">
        <v>0.11899999999999999</v>
      </c>
      <c r="I297" t="s">
        <v>16</v>
      </c>
      <c r="J297">
        <v>601</v>
      </c>
      <c r="K297">
        <v>7.0699999999999999E-2</v>
      </c>
      <c r="L297">
        <v>77</v>
      </c>
      <c r="M297">
        <v>73</v>
      </c>
      <c r="N297" t="s">
        <v>76</v>
      </c>
    </row>
    <row r="298" spans="1:14">
      <c r="A298">
        <v>1985</v>
      </c>
      <c r="B298" t="s">
        <v>20</v>
      </c>
      <c r="C298" t="s">
        <v>28</v>
      </c>
      <c r="D298" s="2">
        <v>0.12</v>
      </c>
      <c r="E298" t="s">
        <v>16</v>
      </c>
      <c r="F298">
        <v>0.111</v>
      </c>
      <c r="G298" t="s">
        <v>16</v>
      </c>
      <c r="H298">
        <v>0.108</v>
      </c>
      <c r="I298" t="s">
        <v>16</v>
      </c>
      <c r="J298">
        <v>478</v>
      </c>
      <c r="K298">
        <v>6.93E-2</v>
      </c>
      <c r="L298">
        <v>65</v>
      </c>
      <c r="M298">
        <v>62</v>
      </c>
      <c r="N298" t="s">
        <v>84</v>
      </c>
    </row>
    <row r="299" spans="1:14">
      <c r="A299">
        <v>1985</v>
      </c>
      <c r="B299" t="s">
        <v>20</v>
      </c>
      <c r="C299" t="s">
        <v>55</v>
      </c>
      <c r="D299" s="2" t="s">
        <v>16</v>
      </c>
      <c r="E299" t="s">
        <v>16</v>
      </c>
      <c r="F299">
        <v>0.107</v>
      </c>
      <c r="G299" t="s">
        <v>16</v>
      </c>
      <c r="H299" t="s">
        <v>16</v>
      </c>
      <c r="I299" t="s">
        <v>16</v>
      </c>
      <c r="J299">
        <v>181</v>
      </c>
      <c r="K299">
        <v>6.93E-2</v>
      </c>
      <c r="L299">
        <v>69</v>
      </c>
      <c r="M299">
        <v>65</v>
      </c>
      <c r="N299" t="s">
        <v>245</v>
      </c>
    </row>
    <row r="300" spans="1:14">
      <c r="A300">
        <v>1985</v>
      </c>
      <c r="B300" t="s">
        <v>20</v>
      </c>
      <c r="C300" t="s">
        <v>18</v>
      </c>
      <c r="D300" s="2" t="s">
        <v>16</v>
      </c>
      <c r="E300" t="s">
        <v>16</v>
      </c>
      <c r="F300">
        <v>0.11899999999999999</v>
      </c>
      <c r="G300" t="s">
        <v>16</v>
      </c>
      <c r="H300">
        <v>0.121</v>
      </c>
      <c r="I300" t="s">
        <v>16</v>
      </c>
      <c r="J300">
        <v>255</v>
      </c>
      <c r="K300">
        <v>6.93E-2</v>
      </c>
      <c r="L300">
        <v>62</v>
      </c>
      <c r="M300">
        <v>58</v>
      </c>
      <c r="N300" t="s">
        <v>246</v>
      </c>
    </row>
    <row r="301" spans="1:14">
      <c r="A301">
        <v>1985</v>
      </c>
      <c r="B301" t="s">
        <v>20</v>
      </c>
      <c r="C301" t="s">
        <v>230</v>
      </c>
      <c r="D301" s="2">
        <v>0.14000000000000001</v>
      </c>
      <c r="E301" t="s">
        <v>16</v>
      </c>
      <c r="F301">
        <v>0.11899999999999999</v>
      </c>
      <c r="G301" t="s">
        <v>16</v>
      </c>
      <c r="H301">
        <v>0.12</v>
      </c>
      <c r="I301" t="s">
        <v>16</v>
      </c>
      <c r="J301">
        <v>275</v>
      </c>
      <c r="K301">
        <v>6.93E-2</v>
      </c>
      <c r="L301">
        <v>92</v>
      </c>
      <c r="M301">
        <v>89</v>
      </c>
      <c r="N301" t="s">
        <v>245</v>
      </c>
    </row>
    <row r="302" spans="1:14">
      <c r="A302">
        <v>1985</v>
      </c>
      <c r="B302" t="s">
        <v>20</v>
      </c>
      <c r="C302" t="s">
        <v>31</v>
      </c>
      <c r="D302" s="2">
        <v>0.1245</v>
      </c>
      <c r="E302" t="s">
        <v>16</v>
      </c>
      <c r="F302">
        <v>0.1245</v>
      </c>
      <c r="G302" t="s">
        <v>16</v>
      </c>
      <c r="H302">
        <v>0.1245</v>
      </c>
      <c r="I302" t="s">
        <v>16</v>
      </c>
      <c r="J302">
        <v>375</v>
      </c>
      <c r="K302">
        <v>6.93E-2</v>
      </c>
      <c r="L302">
        <v>118</v>
      </c>
      <c r="M302">
        <v>113</v>
      </c>
      <c r="N302" t="s">
        <v>84</v>
      </c>
    </row>
    <row r="303" spans="1:14">
      <c r="A303">
        <v>1985</v>
      </c>
      <c r="B303" t="s">
        <v>20</v>
      </c>
      <c r="C303" t="s">
        <v>55</v>
      </c>
      <c r="D303" s="2" t="s">
        <v>16</v>
      </c>
      <c r="E303" t="s">
        <v>16</v>
      </c>
      <c r="F303">
        <v>0.11</v>
      </c>
      <c r="G303" t="s">
        <v>16</v>
      </c>
      <c r="H303">
        <v>0.11</v>
      </c>
      <c r="I303" t="s">
        <v>16</v>
      </c>
      <c r="J303">
        <v>525</v>
      </c>
      <c r="K303">
        <v>6.93E-2</v>
      </c>
      <c r="L303">
        <v>65</v>
      </c>
      <c r="M303">
        <v>61</v>
      </c>
      <c r="N303" t="s">
        <v>79</v>
      </c>
    </row>
    <row r="304" spans="1:14">
      <c r="A304">
        <v>1986</v>
      </c>
      <c r="B304" t="s">
        <v>20</v>
      </c>
      <c r="C304" t="s">
        <v>18</v>
      </c>
      <c r="D304" s="2">
        <v>0.1195</v>
      </c>
      <c r="E304" t="s">
        <v>16</v>
      </c>
      <c r="F304">
        <v>0.11</v>
      </c>
      <c r="G304" t="s">
        <v>16</v>
      </c>
      <c r="H304">
        <v>0.1085</v>
      </c>
      <c r="I304" t="s">
        <v>16</v>
      </c>
      <c r="J304">
        <v>41</v>
      </c>
      <c r="K304">
        <v>7.0400000000000004E-2</v>
      </c>
      <c r="L304">
        <v>65</v>
      </c>
      <c r="M304">
        <v>62</v>
      </c>
      <c r="N304" t="s">
        <v>89</v>
      </c>
    </row>
    <row r="305" spans="1:14">
      <c r="A305">
        <v>1986</v>
      </c>
      <c r="B305" t="s">
        <v>20</v>
      </c>
      <c r="C305" t="s">
        <v>18</v>
      </c>
      <c r="D305" s="2">
        <v>0.114</v>
      </c>
      <c r="E305" t="s">
        <v>16</v>
      </c>
      <c r="F305">
        <v>0.107</v>
      </c>
      <c r="G305" t="s">
        <v>16</v>
      </c>
      <c r="H305">
        <v>0.105</v>
      </c>
      <c r="I305" t="s">
        <v>16</v>
      </c>
      <c r="J305">
        <v>121</v>
      </c>
      <c r="K305">
        <v>7.0400000000000004E-2</v>
      </c>
      <c r="L305">
        <v>81</v>
      </c>
      <c r="M305">
        <v>78</v>
      </c>
      <c r="N305" t="s">
        <v>247</v>
      </c>
    </row>
    <row r="306" spans="1:14">
      <c r="A306">
        <v>1986</v>
      </c>
      <c r="B306" t="s">
        <v>20</v>
      </c>
      <c r="C306" t="s">
        <v>28</v>
      </c>
      <c r="D306" s="2">
        <v>0.1041</v>
      </c>
      <c r="E306" t="s">
        <v>16</v>
      </c>
      <c r="F306" t="s">
        <v>16</v>
      </c>
      <c r="G306" t="s">
        <v>16</v>
      </c>
      <c r="H306">
        <v>0.1057</v>
      </c>
      <c r="I306" t="s">
        <v>16</v>
      </c>
      <c r="J306">
        <v>165</v>
      </c>
      <c r="K306">
        <v>7.0400000000000004E-2</v>
      </c>
      <c r="L306">
        <v>77</v>
      </c>
      <c r="M306">
        <v>73</v>
      </c>
      <c r="N306" t="s">
        <v>87</v>
      </c>
    </row>
    <row r="307" spans="1:14">
      <c r="A307">
        <v>1986</v>
      </c>
      <c r="B307" t="s">
        <v>20</v>
      </c>
      <c r="C307" t="s">
        <v>248</v>
      </c>
      <c r="D307" s="2">
        <v>0.13500000000000001</v>
      </c>
      <c r="E307" t="s">
        <v>16</v>
      </c>
      <c r="F307">
        <v>0.106</v>
      </c>
      <c r="G307" t="s">
        <v>16</v>
      </c>
      <c r="H307">
        <v>0.1055</v>
      </c>
      <c r="I307" t="s">
        <v>16</v>
      </c>
      <c r="J307">
        <v>275</v>
      </c>
      <c r="K307">
        <v>7.0400000000000004E-2</v>
      </c>
      <c r="L307">
        <v>92</v>
      </c>
      <c r="M307">
        <v>89</v>
      </c>
      <c r="N307" t="s">
        <v>249</v>
      </c>
    </row>
    <row r="308" spans="1:14">
      <c r="A308">
        <v>1986</v>
      </c>
      <c r="B308" t="s">
        <v>20</v>
      </c>
      <c r="C308" t="s">
        <v>28</v>
      </c>
      <c r="D308" s="2" t="s">
        <v>16</v>
      </c>
      <c r="E308" t="s">
        <v>16</v>
      </c>
      <c r="F308">
        <v>0.1142</v>
      </c>
      <c r="G308" t="s">
        <v>16</v>
      </c>
      <c r="H308">
        <v>0.1132</v>
      </c>
      <c r="I308" t="s">
        <v>16</v>
      </c>
      <c r="J308">
        <v>281</v>
      </c>
      <c r="K308">
        <v>7.0400000000000004E-2</v>
      </c>
      <c r="L308">
        <v>88</v>
      </c>
      <c r="M308">
        <v>85</v>
      </c>
      <c r="N308" t="s">
        <v>250</v>
      </c>
    </row>
    <row r="309" spans="1:14">
      <c r="A309">
        <v>1986</v>
      </c>
      <c r="B309" t="s">
        <v>20</v>
      </c>
      <c r="C309" t="s">
        <v>28</v>
      </c>
      <c r="D309" s="2">
        <v>0.1191</v>
      </c>
      <c r="E309" t="s">
        <v>16</v>
      </c>
      <c r="F309">
        <v>0.11310000000000001</v>
      </c>
      <c r="G309" t="s">
        <v>16</v>
      </c>
      <c r="H309" t="s">
        <v>16</v>
      </c>
      <c r="I309" t="s">
        <v>16</v>
      </c>
      <c r="J309">
        <v>11</v>
      </c>
      <c r="K309">
        <v>7.0400000000000004E-2</v>
      </c>
      <c r="L309">
        <v>80</v>
      </c>
      <c r="M309">
        <v>76</v>
      </c>
      <c r="N309" t="s">
        <v>98</v>
      </c>
    </row>
    <row r="310" spans="1:14">
      <c r="A310">
        <v>1986</v>
      </c>
      <c r="B310" t="s">
        <v>20</v>
      </c>
      <c r="C310" t="s">
        <v>31</v>
      </c>
      <c r="D310" s="2">
        <v>0.157</v>
      </c>
      <c r="E310" t="s">
        <v>16</v>
      </c>
      <c r="F310">
        <v>0.157</v>
      </c>
      <c r="G310" t="s">
        <v>16</v>
      </c>
      <c r="H310">
        <v>0.157</v>
      </c>
      <c r="I310" t="s">
        <v>16</v>
      </c>
      <c r="J310">
        <v>195</v>
      </c>
      <c r="K310">
        <v>7.0400000000000004E-2</v>
      </c>
      <c r="L310">
        <v>106</v>
      </c>
      <c r="M310">
        <v>103</v>
      </c>
      <c r="N310" t="s">
        <v>251</v>
      </c>
    </row>
    <row r="311" spans="1:14">
      <c r="A311">
        <v>1986</v>
      </c>
      <c r="B311" t="s">
        <v>20</v>
      </c>
      <c r="C311" t="s">
        <v>31</v>
      </c>
      <c r="D311" s="2">
        <v>0.157</v>
      </c>
      <c r="E311" t="s">
        <v>16</v>
      </c>
      <c r="F311">
        <v>0.157</v>
      </c>
      <c r="G311" t="s">
        <v>16</v>
      </c>
      <c r="H311">
        <v>0.157</v>
      </c>
      <c r="I311" t="s">
        <v>16</v>
      </c>
      <c r="J311">
        <v>341</v>
      </c>
      <c r="K311">
        <v>7.0400000000000004E-2</v>
      </c>
      <c r="L311">
        <v>113</v>
      </c>
      <c r="M311">
        <v>110</v>
      </c>
      <c r="N311" t="s">
        <v>97</v>
      </c>
    </row>
    <row r="312" spans="1:14">
      <c r="A312">
        <v>1986</v>
      </c>
      <c r="B312" t="s">
        <v>20</v>
      </c>
      <c r="C312" t="s">
        <v>55</v>
      </c>
      <c r="D312" s="2">
        <v>0.125</v>
      </c>
      <c r="E312" t="s">
        <v>16</v>
      </c>
      <c r="F312">
        <v>0.1125</v>
      </c>
      <c r="G312" t="s">
        <v>16</v>
      </c>
      <c r="H312">
        <v>0.1125</v>
      </c>
      <c r="I312" t="s">
        <v>16</v>
      </c>
      <c r="J312">
        <v>365</v>
      </c>
      <c r="K312">
        <v>7.0400000000000004E-2</v>
      </c>
      <c r="L312">
        <v>97</v>
      </c>
      <c r="M312">
        <v>94</v>
      </c>
      <c r="N312" t="s">
        <v>252</v>
      </c>
    </row>
    <row r="313" spans="1:14">
      <c r="A313">
        <v>1986</v>
      </c>
      <c r="B313" t="s">
        <v>20</v>
      </c>
      <c r="C313" t="s">
        <v>31</v>
      </c>
      <c r="D313" s="2">
        <v>0.1215</v>
      </c>
      <c r="E313" t="s">
        <v>16</v>
      </c>
      <c r="F313">
        <v>0.1215</v>
      </c>
      <c r="G313" t="s">
        <v>16</v>
      </c>
      <c r="H313">
        <v>0.1215</v>
      </c>
      <c r="I313" t="s">
        <v>16</v>
      </c>
      <c r="J313">
        <v>375</v>
      </c>
      <c r="K313">
        <v>7.0400000000000004E-2</v>
      </c>
      <c r="L313">
        <v>118</v>
      </c>
      <c r="M313">
        <v>113</v>
      </c>
      <c r="N313" t="s">
        <v>92</v>
      </c>
    </row>
    <row r="314" spans="1:14">
      <c r="A314">
        <v>1986</v>
      </c>
      <c r="B314" t="s">
        <v>20</v>
      </c>
      <c r="C314" t="s">
        <v>55</v>
      </c>
      <c r="D314" s="2">
        <v>0.1225</v>
      </c>
      <c r="E314" t="s">
        <v>16</v>
      </c>
      <c r="F314">
        <v>0.11700000000000001</v>
      </c>
      <c r="G314" t="s">
        <v>16</v>
      </c>
      <c r="H314">
        <v>0.11700000000000001</v>
      </c>
      <c r="I314" t="s">
        <v>16</v>
      </c>
      <c r="J314">
        <v>601</v>
      </c>
      <c r="K314">
        <v>7.0400000000000004E-2</v>
      </c>
      <c r="L314">
        <v>77</v>
      </c>
      <c r="M314">
        <v>73</v>
      </c>
      <c r="N314" t="s">
        <v>98</v>
      </c>
    </row>
    <row r="315" spans="1:14">
      <c r="A315">
        <v>1986</v>
      </c>
      <c r="B315" t="s">
        <v>20</v>
      </c>
      <c r="C315" t="s">
        <v>28</v>
      </c>
      <c r="D315" s="2">
        <v>0.1195</v>
      </c>
      <c r="E315" t="s">
        <v>16</v>
      </c>
      <c r="F315">
        <v>0.1085</v>
      </c>
      <c r="G315" t="s">
        <v>16</v>
      </c>
      <c r="H315">
        <v>0.1085</v>
      </c>
      <c r="I315" t="s">
        <v>16</v>
      </c>
      <c r="J315">
        <v>478</v>
      </c>
      <c r="K315">
        <v>7.0499999999999993E-2</v>
      </c>
      <c r="L315">
        <v>65</v>
      </c>
      <c r="M315">
        <v>62</v>
      </c>
      <c r="N315" t="s">
        <v>104</v>
      </c>
    </row>
    <row r="316" spans="1:14">
      <c r="A316">
        <v>1986</v>
      </c>
      <c r="B316" t="s">
        <v>20</v>
      </c>
      <c r="C316" t="s">
        <v>227</v>
      </c>
      <c r="D316" s="2">
        <v>0.1225</v>
      </c>
      <c r="E316" t="s">
        <v>16</v>
      </c>
      <c r="F316">
        <v>0.11</v>
      </c>
      <c r="G316" t="s">
        <v>16</v>
      </c>
      <c r="H316">
        <v>0.1075</v>
      </c>
      <c r="I316" t="s">
        <v>16</v>
      </c>
      <c r="J316">
        <v>71</v>
      </c>
      <c r="K316">
        <v>7.0499999999999993E-2</v>
      </c>
      <c r="L316">
        <v>105</v>
      </c>
      <c r="M316">
        <v>101</v>
      </c>
      <c r="N316" t="s">
        <v>253</v>
      </c>
    </row>
    <row r="317" spans="1:14">
      <c r="A317">
        <v>1986</v>
      </c>
      <c r="B317" t="s">
        <v>20</v>
      </c>
      <c r="C317" t="s">
        <v>55</v>
      </c>
      <c r="D317" s="2" t="s">
        <v>16</v>
      </c>
      <c r="E317" t="s">
        <v>16</v>
      </c>
      <c r="F317">
        <v>0.1129</v>
      </c>
      <c r="G317" t="s">
        <v>16</v>
      </c>
      <c r="H317">
        <v>0.1129</v>
      </c>
      <c r="I317" t="s">
        <v>16</v>
      </c>
      <c r="J317">
        <v>181</v>
      </c>
      <c r="K317">
        <v>7.0499999999999993E-2</v>
      </c>
      <c r="L317">
        <v>69</v>
      </c>
      <c r="M317">
        <v>65</v>
      </c>
      <c r="N317" t="s">
        <v>254</v>
      </c>
    </row>
    <row r="318" spans="1:14">
      <c r="A318">
        <v>1986</v>
      </c>
      <c r="B318" t="s">
        <v>20</v>
      </c>
      <c r="C318" t="s">
        <v>18</v>
      </c>
      <c r="D318" s="2" t="s">
        <v>16</v>
      </c>
      <c r="E318" t="s">
        <v>16</v>
      </c>
      <c r="F318">
        <v>0.11799999999999999</v>
      </c>
      <c r="G318" t="s">
        <v>16</v>
      </c>
      <c r="H318">
        <v>0.12</v>
      </c>
      <c r="I318" t="s">
        <v>16</v>
      </c>
      <c r="J318">
        <v>255</v>
      </c>
      <c r="K318">
        <v>7.0499999999999993E-2</v>
      </c>
      <c r="L318">
        <v>62</v>
      </c>
      <c r="M318">
        <v>58</v>
      </c>
      <c r="N318" t="s">
        <v>255</v>
      </c>
    </row>
    <row r="319" spans="1:14">
      <c r="A319">
        <v>1986</v>
      </c>
      <c r="B319" t="s">
        <v>20</v>
      </c>
      <c r="C319" t="s">
        <v>243</v>
      </c>
      <c r="D319" s="2">
        <v>0.12</v>
      </c>
      <c r="E319" t="s">
        <v>16</v>
      </c>
      <c r="F319">
        <v>0.11</v>
      </c>
      <c r="G319" t="s">
        <v>16</v>
      </c>
      <c r="H319">
        <v>0.11</v>
      </c>
      <c r="I319" t="s">
        <v>16</v>
      </c>
      <c r="J319">
        <v>451</v>
      </c>
      <c r="K319">
        <v>7.0499999999999993E-2</v>
      </c>
      <c r="L319">
        <v>108</v>
      </c>
      <c r="M319">
        <v>104</v>
      </c>
      <c r="N319" t="s">
        <v>256</v>
      </c>
    </row>
    <row r="320" spans="1:14">
      <c r="A320">
        <v>1986</v>
      </c>
      <c r="B320" t="s">
        <v>20</v>
      </c>
      <c r="C320" t="s">
        <v>243</v>
      </c>
      <c r="D320" s="2">
        <v>0.12</v>
      </c>
      <c r="E320" t="s">
        <v>16</v>
      </c>
      <c r="F320">
        <v>0.11</v>
      </c>
      <c r="G320" t="s">
        <v>16</v>
      </c>
      <c r="H320">
        <v>0.11</v>
      </c>
      <c r="I320" t="s">
        <v>16</v>
      </c>
      <c r="J320">
        <v>465</v>
      </c>
      <c r="K320">
        <v>7.0499999999999993E-2</v>
      </c>
      <c r="L320">
        <v>71</v>
      </c>
      <c r="M320">
        <v>67</v>
      </c>
      <c r="N320" t="s">
        <v>104</v>
      </c>
    </row>
    <row r="321" spans="1:14">
      <c r="A321">
        <v>1986</v>
      </c>
      <c r="B321" t="s">
        <v>20</v>
      </c>
      <c r="C321" t="s">
        <v>132</v>
      </c>
      <c r="D321" s="2">
        <v>0.107</v>
      </c>
      <c r="E321" t="s">
        <v>16</v>
      </c>
      <c r="F321" t="s">
        <v>16</v>
      </c>
      <c r="G321" t="s">
        <v>16</v>
      </c>
      <c r="H321">
        <v>0.10349999999999999</v>
      </c>
      <c r="I321" t="s">
        <v>16</v>
      </c>
      <c r="J321">
        <v>525</v>
      </c>
      <c r="K321">
        <v>7.0499999999999993E-2</v>
      </c>
      <c r="L321">
        <v>65</v>
      </c>
      <c r="M321">
        <v>61</v>
      </c>
      <c r="N321" t="s">
        <v>104</v>
      </c>
    </row>
    <row r="322" spans="1:14">
      <c r="A322">
        <v>1987</v>
      </c>
      <c r="B322" t="s">
        <v>20</v>
      </c>
      <c r="C322" t="s">
        <v>18</v>
      </c>
      <c r="D322" s="2">
        <v>0.122</v>
      </c>
      <c r="E322" t="s">
        <v>16</v>
      </c>
      <c r="F322">
        <v>0.112</v>
      </c>
      <c r="G322" t="s">
        <v>16</v>
      </c>
      <c r="H322">
        <v>0.111</v>
      </c>
      <c r="I322" t="s">
        <v>16</v>
      </c>
      <c r="J322">
        <v>41</v>
      </c>
      <c r="K322">
        <v>7.0599999999999996E-2</v>
      </c>
      <c r="L322">
        <v>65</v>
      </c>
      <c r="M322">
        <v>62</v>
      </c>
      <c r="N322" t="s">
        <v>257</v>
      </c>
    </row>
    <row r="323" spans="1:14">
      <c r="A323">
        <v>1987</v>
      </c>
      <c r="B323" t="s">
        <v>20</v>
      </c>
      <c r="C323" t="s">
        <v>18</v>
      </c>
      <c r="D323" s="2">
        <v>0.11650000000000001</v>
      </c>
      <c r="E323" t="s">
        <v>16</v>
      </c>
      <c r="F323">
        <v>0.1095</v>
      </c>
      <c r="G323" t="s">
        <v>16</v>
      </c>
      <c r="H323">
        <v>0.1075</v>
      </c>
      <c r="I323" t="s">
        <v>16</v>
      </c>
      <c r="J323">
        <v>121</v>
      </c>
      <c r="K323">
        <v>7.0499999999999993E-2</v>
      </c>
      <c r="L323">
        <v>81</v>
      </c>
      <c r="M323">
        <v>78</v>
      </c>
      <c r="N323" t="s">
        <v>258</v>
      </c>
    </row>
    <row r="324" spans="1:14">
      <c r="A324">
        <v>1987</v>
      </c>
      <c r="B324" t="s">
        <v>20</v>
      </c>
      <c r="C324" t="s">
        <v>28</v>
      </c>
      <c r="D324" s="2">
        <v>0.122</v>
      </c>
      <c r="E324" t="s">
        <v>16</v>
      </c>
      <c r="F324">
        <v>0.112</v>
      </c>
      <c r="G324" t="s">
        <v>16</v>
      </c>
      <c r="H324">
        <v>0.113</v>
      </c>
      <c r="I324" t="s">
        <v>16</v>
      </c>
      <c r="J324">
        <v>281</v>
      </c>
      <c r="K324">
        <v>7.0499999999999993E-2</v>
      </c>
      <c r="L324">
        <v>88</v>
      </c>
      <c r="M324">
        <v>85</v>
      </c>
      <c r="N324" t="s">
        <v>259</v>
      </c>
    </row>
    <row r="325" spans="1:14">
      <c r="A325">
        <v>1987</v>
      </c>
      <c r="B325" t="s">
        <v>20</v>
      </c>
      <c r="C325" t="s">
        <v>55</v>
      </c>
      <c r="D325" s="2">
        <v>0.1295</v>
      </c>
      <c r="E325" t="s">
        <v>16</v>
      </c>
      <c r="F325">
        <v>0.11700000000000001</v>
      </c>
      <c r="G325" t="s">
        <v>16</v>
      </c>
      <c r="H325">
        <v>0.11700000000000001</v>
      </c>
      <c r="I325" t="s">
        <v>16</v>
      </c>
      <c r="J325">
        <v>365</v>
      </c>
      <c r="K325">
        <v>7.0499999999999993E-2</v>
      </c>
      <c r="L325">
        <v>97</v>
      </c>
      <c r="M325">
        <v>94</v>
      </c>
      <c r="N325" t="s">
        <v>258</v>
      </c>
    </row>
    <row r="326" spans="1:14">
      <c r="A326">
        <v>1987</v>
      </c>
      <c r="B326" t="s">
        <v>20</v>
      </c>
      <c r="C326" t="s">
        <v>28</v>
      </c>
      <c r="D326" s="2">
        <v>0.121</v>
      </c>
      <c r="E326" t="s">
        <v>16</v>
      </c>
      <c r="F326">
        <v>0.1115</v>
      </c>
      <c r="G326" t="s">
        <v>16</v>
      </c>
      <c r="H326">
        <v>0.1115</v>
      </c>
      <c r="I326" t="s">
        <v>16</v>
      </c>
      <c r="J326">
        <v>11</v>
      </c>
      <c r="K326">
        <v>7.0499999999999993E-2</v>
      </c>
      <c r="L326">
        <v>80</v>
      </c>
      <c r="M326">
        <v>76</v>
      </c>
      <c r="N326" t="s">
        <v>118</v>
      </c>
    </row>
    <row r="327" spans="1:14">
      <c r="A327">
        <v>1987</v>
      </c>
      <c r="B327" t="s">
        <v>20</v>
      </c>
      <c r="C327" t="s">
        <v>55</v>
      </c>
      <c r="D327" s="2">
        <v>0.1152</v>
      </c>
      <c r="E327" t="s">
        <v>16</v>
      </c>
      <c r="F327">
        <v>0.10580000000000001</v>
      </c>
      <c r="G327" t="s">
        <v>16</v>
      </c>
      <c r="H327">
        <v>0.1041</v>
      </c>
      <c r="I327" t="s">
        <v>16</v>
      </c>
      <c r="J327">
        <v>165</v>
      </c>
      <c r="K327">
        <v>7.0499999999999993E-2</v>
      </c>
      <c r="L327">
        <v>77</v>
      </c>
      <c r="M327">
        <v>73</v>
      </c>
      <c r="N327" t="s">
        <v>260</v>
      </c>
    </row>
    <row r="328" spans="1:14">
      <c r="A328">
        <v>1987</v>
      </c>
      <c r="B328" t="s">
        <v>20</v>
      </c>
      <c r="C328" t="s">
        <v>31</v>
      </c>
      <c r="D328" s="2">
        <v>0.159</v>
      </c>
      <c r="E328" t="s">
        <v>16</v>
      </c>
      <c r="F328">
        <v>0.159</v>
      </c>
      <c r="G328" t="s">
        <v>16</v>
      </c>
      <c r="H328">
        <v>0.159</v>
      </c>
      <c r="I328" t="s">
        <v>16</v>
      </c>
      <c r="J328">
        <v>195</v>
      </c>
      <c r="K328">
        <v>7.0499999999999993E-2</v>
      </c>
      <c r="L328">
        <v>106</v>
      </c>
      <c r="M328">
        <v>103</v>
      </c>
      <c r="N328" t="s">
        <v>121</v>
      </c>
    </row>
    <row r="329" spans="1:14">
      <c r="A329">
        <v>1987</v>
      </c>
      <c r="B329" t="s">
        <v>20</v>
      </c>
      <c r="C329" t="s">
        <v>31</v>
      </c>
      <c r="D329" s="2">
        <v>0.159</v>
      </c>
      <c r="E329" t="s">
        <v>16</v>
      </c>
      <c r="F329">
        <v>0.159</v>
      </c>
      <c r="G329" t="s">
        <v>16</v>
      </c>
      <c r="H329">
        <v>0.159</v>
      </c>
      <c r="I329" t="s">
        <v>16</v>
      </c>
      <c r="J329">
        <v>341</v>
      </c>
      <c r="K329">
        <v>7.0499999999999993E-2</v>
      </c>
      <c r="L329">
        <v>113</v>
      </c>
      <c r="M329">
        <v>110</v>
      </c>
      <c r="N329" t="s">
        <v>118</v>
      </c>
    </row>
    <row r="330" spans="1:14">
      <c r="A330">
        <v>1987</v>
      </c>
      <c r="B330" t="s">
        <v>20</v>
      </c>
      <c r="C330" t="s">
        <v>243</v>
      </c>
      <c r="D330" s="2">
        <v>0.11899999999999999</v>
      </c>
      <c r="E330" t="s">
        <v>16</v>
      </c>
      <c r="F330">
        <v>0.11</v>
      </c>
      <c r="G330" t="s">
        <v>16</v>
      </c>
      <c r="H330">
        <v>0.11</v>
      </c>
      <c r="I330" t="s">
        <v>16</v>
      </c>
      <c r="J330">
        <v>451</v>
      </c>
      <c r="K330">
        <v>7.0499999999999993E-2</v>
      </c>
      <c r="L330">
        <v>108</v>
      </c>
      <c r="M330">
        <v>104</v>
      </c>
      <c r="N330" t="s">
        <v>120</v>
      </c>
    </row>
    <row r="331" spans="1:14">
      <c r="A331">
        <v>1987</v>
      </c>
      <c r="B331" t="s">
        <v>20</v>
      </c>
      <c r="C331" t="s">
        <v>248</v>
      </c>
      <c r="D331" s="2">
        <v>0.122</v>
      </c>
      <c r="E331" t="s">
        <v>16</v>
      </c>
      <c r="F331">
        <v>0.11</v>
      </c>
      <c r="G331" t="s">
        <v>16</v>
      </c>
      <c r="H331">
        <v>0.11</v>
      </c>
      <c r="I331" t="s">
        <v>16</v>
      </c>
      <c r="J331">
        <v>465</v>
      </c>
      <c r="K331">
        <v>7.0499999999999993E-2</v>
      </c>
      <c r="L331">
        <v>71</v>
      </c>
      <c r="M331">
        <v>67</v>
      </c>
      <c r="N331" t="s">
        <v>261</v>
      </c>
    </row>
    <row r="332" spans="1:14">
      <c r="A332">
        <v>1987</v>
      </c>
      <c r="B332" t="s">
        <v>20</v>
      </c>
      <c r="C332" t="s">
        <v>28</v>
      </c>
      <c r="D332" s="2">
        <v>0.122</v>
      </c>
      <c r="E332" t="s">
        <v>16</v>
      </c>
      <c r="F332">
        <v>0.115</v>
      </c>
      <c r="G332" t="s">
        <v>16</v>
      </c>
      <c r="H332">
        <v>0.115</v>
      </c>
      <c r="I332" t="s">
        <v>16</v>
      </c>
      <c r="J332">
        <v>601</v>
      </c>
      <c r="K332">
        <v>7.0499999999999993E-2</v>
      </c>
      <c r="L332">
        <v>77</v>
      </c>
      <c r="M332">
        <v>73</v>
      </c>
      <c r="N332" t="s">
        <v>117</v>
      </c>
    </row>
    <row r="333" spans="1:14">
      <c r="A333">
        <v>1987</v>
      </c>
      <c r="B333" t="s">
        <v>20</v>
      </c>
      <c r="C333" t="s">
        <v>28</v>
      </c>
      <c r="D333" s="2">
        <v>0.12</v>
      </c>
      <c r="E333" t="s">
        <v>16</v>
      </c>
      <c r="F333">
        <v>0.111</v>
      </c>
      <c r="G333" t="s">
        <v>16</v>
      </c>
      <c r="H333">
        <v>0.111</v>
      </c>
      <c r="I333" t="s">
        <v>16</v>
      </c>
      <c r="J333">
        <v>478</v>
      </c>
      <c r="K333">
        <v>7.0800000000000002E-2</v>
      </c>
      <c r="L333">
        <v>65</v>
      </c>
      <c r="M333">
        <v>62</v>
      </c>
      <c r="N333" t="s">
        <v>262</v>
      </c>
    </row>
    <row r="334" spans="1:14">
      <c r="A334">
        <v>1987</v>
      </c>
      <c r="B334" t="s">
        <v>20</v>
      </c>
      <c r="C334" t="s">
        <v>227</v>
      </c>
      <c r="D334" s="2">
        <v>0.126</v>
      </c>
      <c r="E334" t="s">
        <v>16</v>
      </c>
      <c r="F334">
        <v>0.11600000000000001</v>
      </c>
      <c r="G334" t="s">
        <v>16</v>
      </c>
      <c r="H334">
        <v>0.11600000000000001</v>
      </c>
      <c r="I334" t="s">
        <v>16</v>
      </c>
      <c r="J334">
        <v>71</v>
      </c>
      <c r="K334">
        <v>7.0800000000000002E-2</v>
      </c>
      <c r="L334">
        <v>105</v>
      </c>
      <c r="M334">
        <v>101</v>
      </c>
      <c r="N334" t="s">
        <v>262</v>
      </c>
    </row>
    <row r="335" spans="1:14">
      <c r="A335">
        <v>1987</v>
      </c>
      <c r="B335" t="s">
        <v>20</v>
      </c>
      <c r="C335" t="s">
        <v>28</v>
      </c>
      <c r="D335" s="2">
        <v>0.1173</v>
      </c>
      <c r="E335" t="s">
        <v>16</v>
      </c>
      <c r="F335">
        <v>0.11</v>
      </c>
      <c r="G335" t="s">
        <v>16</v>
      </c>
      <c r="H335">
        <v>0.111</v>
      </c>
      <c r="I335" t="s">
        <v>16</v>
      </c>
      <c r="J335">
        <v>181</v>
      </c>
      <c r="K335">
        <v>7.0800000000000002E-2</v>
      </c>
      <c r="L335">
        <v>69</v>
      </c>
      <c r="M335">
        <v>65</v>
      </c>
      <c r="N335" t="s">
        <v>263</v>
      </c>
    </row>
    <row r="336" spans="1:14">
      <c r="A336">
        <v>1987</v>
      </c>
      <c r="B336" t="s">
        <v>20</v>
      </c>
      <c r="C336" t="s">
        <v>18</v>
      </c>
      <c r="D336" s="2">
        <v>0.1285</v>
      </c>
      <c r="E336" t="s">
        <v>16</v>
      </c>
      <c r="F336">
        <v>0.11849999999999999</v>
      </c>
      <c r="G336" t="s">
        <v>16</v>
      </c>
      <c r="H336">
        <v>0.1235</v>
      </c>
      <c r="I336" t="s">
        <v>16</v>
      </c>
      <c r="J336">
        <v>255</v>
      </c>
      <c r="K336">
        <v>7.0800000000000002E-2</v>
      </c>
      <c r="L336">
        <v>62</v>
      </c>
      <c r="M336">
        <v>58</v>
      </c>
      <c r="N336" t="s">
        <v>264</v>
      </c>
    </row>
    <row r="337" spans="1:14">
      <c r="A337">
        <v>1987</v>
      </c>
      <c r="B337" t="s">
        <v>20</v>
      </c>
      <c r="C337" t="s">
        <v>248</v>
      </c>
      <c r="D337" s="2">
        <v>0.13500000000000001</v>
      </c>
      <c r="E337" t="s">
        <v>16</v>
      </c>
      <c r="F337">
        <v>0.106</v>
      </c>
      <c r="G337" t="s">
        <v>16</v>
      </c>
      <c r="H337">
        <v>0.1055</v>
      </c>
      <c r="I337" t="s">
        <v>16</v>
      </c>
      <c r="J337">
        <v>275</v>
      </c>
      <c r="K337">
        <v>7.0800000000000002E-2</v>
      </c>
      <c r="L337">
        <v>92</v>
      </c>
      <c r="M337">
        <v>89</v>
      </c>
      <c r="N337" t="s">
        <v>263</v>
      </c>
    </row>
    <row r="338" spans="1:14">
      <c r="A338">
        <v>1987</v>
      </c>
      <c r="B338" t="s">
        <v>20</v>
      </c>
      <c r="C338" t="s">
        <v>15</v>
      </c>
      <c r="D338" s="2">
        <v>0.11700000000000001</v>
      </c>
      <c r="E338" t="s">
        <v>16</v>
      </c>
      <c r="F338">
        <v>0.1055</v>
      </c>
      <c r="G338" t="s">
        <v>16</v>
      </c>
      <c r="H338">
        <v>0.114</v>
      </c>
      <c r="I338" t="s">
        <v>16</v>
      </c>
      <c r="J338">
        <v>375</v>
      </c>
      <c r="K338">
        <v>7.0800000000000002E-2</v>
      </c>
      <c r="L338">
        <v>118</v>
      </c>
      <c r="M338">
        <v>113</v>
      </c>
      <c r="N338" t="s">
        <v>265</v>
      </c>
    </row>
    <row r="339" spans="1:14">
      <c r="A339">
        <v>1987</v>
      </c>
      <c r="B339" t="s">
        <v>20</v>
      </c>
      <c r="C339" t="s">
        <v>132</v>
      </c>
      <c r="D339" s="2">
        <v>0.11700000000000001</v>
      </c>
      <c r="E339" t="s">
        <v>16</v>
      </c>
      <c r="F339">
        <v>0.107</v>
      </c>
      <c r="G339" t="s">
        <v>16</v>
      </c>
      <c r="H339">
        <v>0.10349999999999999</v>
      </c>
      <c r="I339" t="s">
        <v>16</v>
      </c>
      <c r="J339">
        <v>525</v>
      </c>
      <c r="K339">
        <v>7.0800000000000002E-2</v>
      </c>
      <c r="L339">
        <v>65</v>
      </c>
      <c r="M339">
        <v>61</v>
      </c>
      <c r="N339" t="s">
        <v>128</v>
      </c>
    </row>
    <row r="340" spans="1:14">
      <c r="A340">
        <v>1988</v>
      </c>
      <c r="B340" t="s">
        <v>20</v>
      </c>
      <c r="C340" t="s">
        <v>31</v>
      </c>
      <c r="D340" s="2">
        <v>0.125</v>
      </c>
      <c r="E340" t="s">
        <v>16</v>
      </c>
      <c r="F340">
        <v>0.115</v>
      </c>
      <c r="G340" t="s">
        <v>16</v>
      </c>
      <c r="H340">
        <v>0.115</v>
      </c>
      <c r="I340" t="s">
        <v>16</v>
      </c>
      <c r="J340">
        <v>41</v>
      </c>
      <c r="K340">
        <v>6.7400000000000002E-2</v>
      </c>
      <c r="L340">
        <v>65</v>
      </c>
      <c r="M340">
        <v>62</v>
      </c>
      <c r="N340" t="s">
        <v>266</v>
      </c>
    </row>
    <row r="341" spans="1:14">
      <c r="A341">
        <v>1988</v>
      </c>
      <c r="B341" t="s">
        <v>20</v>
      </c>
      <c r="C341" t="s">
        <v>28</v>
      </c>
      <c r="D341" s="2">
        <v>0.111</v>
      </c>
      <c r="E341" t="s">
        <v>16</v>
      </c>
      <c r="F341">
        <v>0.1027</v>
      </c>
      <c r="G341" t="s">
        <v>16</v>
      </c>
      <c r="H341">
        <v>0.10349999999999999</v>
      </c>
      <c r="I341" t="s">
        <v>16</v>
      </c>
      <c r="J341">
        <v>165</v>
      </c>
      <c r="K341">
        <v>6.6900000000000001E-2</v>
      </c>
      <c r="L341">
        <v>77</v>
      </c>
      <c r="M341">
        <v>73</v>
      </c>
      <c r="N341" t="s">
        <v>267</v>
      </c>
    </row>
    <row r="342" spans="1:14">
      <c r="A342">
        <v>1988</v>
      </c>
      <c r="B342" t="s">
        <v>20</v>
      </c>
      <c r="C342" t="s">
        <v>28</v>
      </c>
      <c r="D342" s="2">
        <v>0.11749999999999999</v>
      </c>
      <c r="E342" t="s">
        <v>16</v>
      </c>
      <c r="F342">
        <v>0.109</v>
      </c>
      <c r="G342" t="s">
        <v>16</v>
      </c>
      <c r="H342">
        <v>0.11</v>
      </c>
      <c r="I342" t="s">
        <v>16</v>
      </c>
      <c r="J342">
        <v>281</v>
      </c>
      <c r="K342">
        <v>6.6900000000000001E-2</v>
      </c>
      <c r="L342">
        <v>88</v>
      </c>
      <c r="M342">
        <v>85</v>
      </c>
      <c r="N342" t="s">
        <v>268</v>
      </c>
    </row>
    <row r="343" spans="1:14">
      <c r="A343">
        <v>1988</v>
      </c>
      <c r="B343" t="s">
        <v>20</v>
      </c>
      <c r="C343" t="s">
        <v>55</v>
      </c>
      <c r="D343" s="2">
        <v>0.1295</v>
      </c>
      <c r="E343" t="s">
        <v>16</v>
      </c>
      <c r="F343">
        <v>0.11700000000000001</v>
      </c>
      <c r="G343" t="s">
        <v>16</v>
      </c>
      <c r="H343">
        <v>0.11700000000000001</v>
      </c>
      <c r="I343" t="s">
        <v>16</v>
      </c>
      <c r="J343">
        <v>365</v>
      </c>
      <c r="K343">
        <v>6.6900000000000001E-2</v>
      </c>
      <c r="L343">
        <v>97</v>
      </c>
      <c r="M343">
        <v>94</v>
      </c>
      <c r="N343" t="s">
        <v>269</v>
      </c>
    </row>
    <row r="344" spans="1:14">
      <c r="A344">
        <v>1988</v>
      </c>
      <c r="B344" t="s">
        <v>20</v>
      </c>
      <c r="C344" t="s">
        <v>28</v>
      </c>
      <c r="D344" s="2">
        <v>0.1195</v>
      </c>
      <c r="E344" t="s">
        <v>16</v>
      </c>
      <c r="F344">
        <v>0.1115</v>
      </c>
      <c r="G344" t="s">
        <v>16</v>
      </c>
      <c r="H344">
        <v>0.112</v>
      </c>
      <c r="I344" t="s">
        <v>16</v>
      </c>
      <c r="J344">
        <v>11</v>
      </c>
      <c r="K344">
        <v>6.6900000000000001E-2</v>
      </c>
      <c r="L344">
        <v>80</v>
      </c>
      <c r="M344">
        <v>76</v>
      </c>
      <c r="N344" t="s">
        <v>139</v>
      </c>
    </row>
    <row r="345" spans="1:14">
      <c r="A345">
        <v>1988</v>
      </c>
      <c r="B345" t="s">
        <v>20</v>
      </c>
      <c r="C345" t="s">
        <v>18</v>
      </c>
      <c r="D345" s="2">
        <v>0.11650000000000001</v>
      </c>
      <c r="E345" t="s">
        <v>16</v>
      </c>
      <c r="F345">
        <v>0.1095</v>
      </c>
      <c r="G345" t="s">
        <v>16</v>
      </c>
      <c r="H345">
        <v>0.1075</v>
      </c>
      <c r="I345" t="s">
        <v>16</v>
      </c>
      <c r="J345">
        <v>121</v>
      </c>
      <c r="K345">
        <v>6.6900000000000001E-2</v>
      </c>
      <c r="L345">
        <v>81</v>
      </c>
      <c r="M345">
        <v>78</v>
      </c>
      <c r="N345" t="s">
        <v>270</v>
      </c>
    </row>
    <row r="346" spans="1:14">
      <c r="A346">
        <v>1988</v>
      </c>
      <c r="B346" t="s">
        <v>20</v>
      </c>
      <c r="C346" t="s">
        <v>31</v>
      </c>
      <c r="D346" s="2">
        <v>0.159</v>
      </c>
      <c r="E346" t="s">
        <v>16</v>
      </c>
      <c r="F346">
        <v>0.159</v>
      </c>
      <c r="G346" t="s">
        <v>16</v>
      </c>
      <c r="H346">
        <v>0.159</v>
      </c>
      <c r="I346" t="s">
        <v>16</v>
      </c>
      <c r="J346">
        <v>195</v>
      </c>
      <c r="K346">
        <v>6.6900000000000001E-2</v>
      </c>
      <c r="L346">
        <v>106</v>
      </c>
      <c r="M346">
        <v>103</v>
      </c>
      <c r="N346" t="s">
        <v>271</v>
      </c>
    </row>
    <row r="347" spans="1:14">
      <c r="A347">
        <v>1988</v>
      </c>
      <c r="B347" t="s">
        <v>20</v>
      </c>
      <c r="C347" t="s">
        <v>18</v>
      </c>
      <c r="D347" s="2">
        <v>0.125</v>
      </c>
      <c r="E347" t="s">
        <v>16</v>
      </c>
      <c r="F347">
        <v>0.115</v>
      </c>
      <c r="G347" t="s">
        <v>16</v>
      </c>
      <c r="H347">
        <v>0.115</v>
      </c>
      <c r="I347" t="s">
        <v>16</v>
      </c>
      <c r="J347">
        <v>255</v>
      </c>
      <c r="K347">
        <v>6.6900000000000001E-2</v>
      </c>
      <c r="L347">
        <v>62</v>
      </c>
      <c r="M347">
        <v>58</v>
      </c>
      <c r="N347" t="s">
        <v>272</v>
      </c>
    </row>
    <row r="348" spans="1:14">
      <c r="A348">
        <v>1988</v>
      </c>
      <c r="B348" t="s">
        <v>20</v>
      </c>
      <c r="C348" t="s">
        <v>31</v>
      </c>
      <c r="D348" s="2">
        <v>0.159</v>
      </c>
      <c r="E348" t="s">
        <v>16</v>
      </c>
      <c r="F348">
        <v>0.159</v>
      </c>
      <c r="G348" t="s">
        <v>16</v>
      </c>
      <c r="H348">
        <v>0.159</v>
      </c>
      <c r="I348" t="s">
        <v>16</v>
      </c>
      <c r="J348">
        <v>341</v>
      </c>
      <c r="K348">
        <v>6.6900000000000001E-2</v>
      </c>
      <c r="L348">
        <v>113</v>
      </c>
      <c r="M348">
        <v>110</v>
      </c>
      <c r="N348" t="s">
        <v>272</v>
      </c>
    </row>
    <row r="349" spans="1:14">
      <c r="A349">
        <v>1988</v>
      </c>
      <c r="B349" t="s">
        <v>20</v>
      </c>
      <c r="C349" t="s">
        <v>31</v>
      </c>
      <c r="D349" s="2">
        <v>0.14799999999999999</v>
      </c>
      <c r="E349" t="s">
        <v>16</v>
      </c>
      <c r="F349">
        <v>0.13750000000000001</v>
      </c>
      <c r="G349" t="s">
        <v>16</v>
      </c>
      <c r="H349">
        <v>0.14249999999999999</v>
      </c>
      <c r="I349" t="s">
        <v>16</v>
      </c>
      <c r="J349">
        <v>375</v>
      </c>
      <c r="K349">
        <v>6.6900000000000001E-2</v>
      </c>
      <c r="L349">
        <v>118</v>
      </c>
      <c r="M349">
        <v>113</v>
      </c>
      <c r="N349" t="s">
        <v>141</v>
      </c>
    </row>
    <row r="350" spans="1:14">
      <c r="A350">
        <v>1988</v>
      </c>
      <c r="B350" t="s">
        <v>20</v>
      </c>
      <c r="C350" t="s">
        <v>248</v>
      </c>
      <c r="D350" s="2">
        <v>0.1215</v>
      </c>
      <c r="E350" t="s">
        <v>16</v>
      </c>
      <c r="F350">
        <v>0.1085</v>
      </c>
      <c r="G350" t="s">
        <v>16</v>
      </c>
      <c r="H350">
        <v>0.1085</v>
      </c>
      <c r="I350" t="s">
        <v>16</v>
      </c>
      <c r="J350">
        <v>465</v>
      </c>
      <c r="K350">
        <v>6.6900000000000001E-2</v>
      </c>
      <c r="L350">
        <v>71</v>
      </c>
      <c r="M350">
        <v>67</v>
      </c>
      <c r="N350" t="s">
        <v>143</v>
      </c>
    </row>
    <row r="351" spans="1:14">
      <c r="A351">
        <v>1988</v>
      </c>
      <c r="B351" t="s">
        <v>20</v>
      </c>
      <c r="C351" t="s">
        <v>55</v>
      </c>
      <c r="D351" s="2">
        <v>0.122</v>
      </c>
      <c r="E351" t="s">
        <v>16</v>
      </c>
      <c r="F351">
        <v>0.112</v>
      </c>
      <c r="G351" t="s">
        <v>16</v>
      </c>
      <c r="H351">
        <v>0.112</v>
      </c>
      <c r="I351" t="s">
        <v>16</v>
      </c>
      <c r="J351">
        <v>601</v>
      </c>
      <c r="K351">
        <v>6.6900000000000001E-2</v>
      </c>
      <c r="L351">
        <v>77</v>
      </c>
      <c r="M351">
        <v>73</v>
      </c>
      <c r="N351" t="s">
        <v>273</v>
      </c>
    </row>
    <row r="352" spans="1:14">
      <c r="A352">
        <v>1988</v>
      </c>
      <c r="B352" t="s">
        <v>20</v>
      </c>
      <c r="C352" t="s">
        <v>28</v>
      </c>
      <c r="D352" s="2">
        <v>0.12</v>
      </c>
      <c r="E352" t="s">
        <v>16</v>
      </c>
      <c r="F352">
        <v>0.1145</v>
      </c>
      <c r="G352" t="s">
        <v>16</v>
      </c>
      <c r="H352">
        <v>0.1145</v>
      </c>
      <c r="I352" t="s">
        <v>16</v>
      </c>
      <c r="J352">
        <v>478</v>
      </c>
      <c r="K352">
        <v>6.6900000000000001E-2</v>
      </c>
      <c r="L352">
        <v>65</v>
      </c>
      <c r="M352">
        <v>62</v>
      </c>
      <c r="N352" t="s">
        <v>274</v>
      </c>
    </row>
    <row r="353" spans="1:14">
      <c r="A353">
        <v>1988</v>
      </c>
      <c r="B353" t="s">
        <v>20</v>
      </c>
      <c r="C353" t="s">
        <v>31</v>
      </c>
      <c r="D353" s="2">
        <v>0.1225</v>
      </c>
      <c r="E353" t="s">
        <v>16</v>
      </c>
      <c r="F353">
        <v>0.111</v>
      </c>
      <c r="G353" t="s">
        <v>16</v>
      </c>
      <c r="H353">
        <v>0.109</v>
      </c>
      <c r="I353" t="s">
        <v>16</v>
      </c>
      <c r="J353">
        <v>71</v>
      </c>
      <c r="K353">
        <v>6.6900000000000001E-2</v>
      </c>
      <c r="L353">
        <v>105</v>
      </c>
      <c r="M353">
        <v>101</v>
      </c>
      <c r="N353" t="s">
        <v>274</v>
      </c>
    </row>
    <row r="354" spans="1:14">
      <c r="A354">
        <v>1988</v>
      </c>
      <c r="B354" t="s">
        <v>20</v>
      </c>
      <c r="C354" t="s">
        <v>18</v>
      </c>
      <c r="D354" s="2">
        <v>0.11650000000000001</v>
      </c>
      <c r="E354" t="s">
        <v>16</v>
      </c>
      <c r="F354">
        <v>0.109</v>
      </c>
      <c r="G354" t="s">
        <v>16</v>
      </c>
      <c r="H354">
        <v>0.109</v>
      </c>
      <c r="I354" t="s">
        <v>16</v>
      </c>
      <c r="J354">
        <v>181</v>
      </c>
      <c r="K354">
        <v>6.6900000000000001E-2</v>
      </c>
      <c r="L354">
        <v>69</v>
      </c>
      <c r="M354">
        <v>65</v>
      </c>
      <c r="N354" t="s">
        <v>157</v>
      </c>
    </row>
    <row r="355" spans="1:14">
      <c r="A355">
        <v>1988</v>
      </c>
      <c r="B355" t="s">
        <v>20</v>
      </c>
      <c r="C355" t="s">
        <v>248</v>
      </c>
      <c r="D355" s="2">
        <v>0.13500000000000001</v>
      </c>
      <c r="E355" t="s">
        <v>16</v>
      </c>
      <c r="F355">
        <v>0.106</v>
      </c>
      <c r="G355" t="s">
        <v>16</v>
      </c>
      <c r="H355">
        <v>0.1055</v>
      </c>
      <c r="I355" t="s">
        <v>16</v>
      </c>
      <c r="J355">
        <v>275</v>
      </c>
      <c r="K355">
        <v>6.6900000000000001E-2</v>
      </c>
      <c r="L355">
        <v>92</v>
      </c>
      <c r="M355">
        <v>89</v>
      </c>
      <c r="N355" t="s">
        <v>157</v>
      </c>
    </row>
    <row r="356" spans="1:14">
      <c r="A356">
        <v>1988</v>
      </c>
      <c r="B356" t="s">
        <v>20</v>
      </c>
      <c r="C356" t="s">
        <v>31</v>
      </c>
      <c r="D356" s="2">
        <v>0.1225</v>
      </c>
      <c r="E356" t="s">
        <v>16</v>
      </c>
      <c r="F356">
        <v>0.111</v>
      </c>
      <c r="G356" t="s">
        <v>16</v>
      </c>
      <c r="H356">
        <v>0.109</v>
      </c>
      <c r="I356" t="s">
        <v>16</v>
      </c>
      <c r="J356">
        <v>451</v>
      </c>
      <c r="K356">
        <v>6.6900000000000001E-2</v>
      </c>
      <c r="L356">
        <v>108</v>
      </c>
      <c r="M356">
        <v>104</v>
      </c>
      <c r="N356" t="s">
        <v>275</v>
      </c>
    </row>
    <row r="357" spans="1:14">
      <c r="A357">
        <v>1988</v>
      </c>
      <c r="B357" t="s">
        <v>20</v>
      </c>
      <c r="C357" t="s">
        <v>132</v>
      </c>
      <c r="D357" s="2">
        <v>0.11700000000000001</v>
      </c>
      <c r="E357" t="s">
        <v>16</v>
      </c>
      <c r="F357">
        <v>0.11</v>
      </c>
      <c r="G357" t="s">
        <v>16</v>
      </c>
      <c r="H357">
        <v>0.11</v>
      </c>
      <c r="I357" t="s">
        <v>16</v>
      </c>
      <c r="J357">
        <v>525</v>
      </c>
      <c r="K357">
        <v>6.6900000000000001E-2</v>
      </c>
      <c r="L357">
        <v>65</v>
      </c>
      <c r="M357">
        <v>61</v>
      </c>
      <c r="N357" t="s">
        <v>152</v>
      </c>
    </row>
    <row r="358" spans="1:14">
      <c r="A358">
        <v>1989</v>
      </c>
      <c r="B358" t="s">
        <v>20</v>
      </c>
      <c r="C358" t="s">
        <v>55</v>
      </c>
      <c r="D358" s="2">
        <v>0.12239999999999999</v>
      </c>
      <c r="E358" t="s">
        <v>16</v>
      </c>
      <c r="F358">
        <v>0.1124</v>
      </c>
      <c r="G358" t="s">
        <v>16</v>
      </c>
      <c r="H358">
        <v>0.1124</v>
      </c>
      <c r="I358" t="s">
        <v>16</v>
      </c>
      <c r="J358">
        <v>41</v>
      </c>
      <c r="K358">
        <v>7.0400000000000004E-2</v>
      </c>
      <c r="L358">
        <v>65</v>
      </c>
      <c r="M358">
        <v>62</v>
      </c>
      <c r="N358" t="s">
        <v>276</v>
      </c>
    </row>
    <row r="359" spans="1:14">
      <c r="A359">
        <v>1989</v>
      </c>
      <c r="B359" t="s">
        <v>20</v>
      </c>
      <c r="C359" t="s">
        <v>18</v>
      </c>
      <c r="D359" s="2">
        <v>0.129</v>
      </c>
      <c r="E359" t="s">
        <v>16</v>
      </c>
      <c r="F359">
        <v>0.12</v>
      </c>
      <c r="G359" t="s">
        <v>16</v>
      </c>
      <c r="H359">
        <v>0.12</v>
      </c>
      <c r="I359" t="s">
        <v>16</v>
      </c>
      <c r="J359">
        <v>165</v>
      </c>
      <c r="K359">
        <v>7.0900000000000005E-2</v>
      </c>
      <c r="L359">
        <v>77</v>
      </c>
      <c r="M359">
        <v>73</v>
      </c>
      <c r="N359" t="s">
        <v>277</v>
      </c>
    </row>
    <row r="360" spans="1:14">
      <c r="A360">
        <v>1989</v>
      </c>
      <c r="B360" t="s">
        <v>20</v>
      </c>
      <c r="C360" t="s">
        <v>28</v>
      </c>
      <c r="D360" s="2">
        <v>0.1249</v>
      </c>
      <c r="E360" t="s">
        <v>16</v>
      </c>
      <c r="F360">
        <v>0.1147</v>
      </c>
      <c r="G360" t="s">
        <v>16</v>
      </c>
      <c r="H360">
        <v>0.1137</v>
      </c>
      <c r="I360" t="s">
        <v>16</v>
      </c>
      <c r="J360">
        <v>281</v>
      </c>
      <c r="K360">
        <v>7.0900000000000005E-2</v>
      </c>
      <c r="L360">
        <v>88</v>
      </c>
      <c r="M360">
        <v>85</v>
      </c>
      <c r="N360" t="s">
        <v>278</v>
      </c>
    </row>
    <row r="361" spans="1:14">
      <c r="A361">
        <v>1989</v>
      </c>
      <c r="B361" t="s">
        <v>20</v>
      </c>
      <c r="C361" t="s">
        <v>55</v>
      </c>
      <c r="D361" s="2">
        <v>0.1293</v>
      </c>
      <c r="E361" t="s">
        <v>16</v>
      </c>
      <c r="F361">
        <v>0.12039999999999999</v>
      </c>
      <c r="G361" t="s">
        <v>16</v>
      </c>
      <c r="H361">
        <v>0.1183</v>
      </c>
      <c r="I361" t="s">
        <v>16</v>
      </c>
      <c r="J361">
        <v>365</v>
      </c>
      <c r="K361">
        <v>7.0900000000000005E-2</v>
      </c>
      <c r="L361">
        <v>97</v>
      </c>
      <c r="M361">
        <v>94</v>
      </c>
      <c r="N361" t="s">
        <v>279</v>
      </c>
    </row>
    <row r="362" spans="1:14">
      <c r="A362">
        <v>1989</v>
      </c>
      <c r="B362" t="s">
        <v>20</v>
      </c>
      <c r="C362" t="s">
        <v>227</v>
      </c>
      <c r="D362" s="2">
        <v>0.1195</v>
      </c>
      <c r="E362" t="s">
        <v>16</v>
      </c>
      <c r="F362">
        <v>0.1115</v>
      </c>
      <c r="G362" t="s">
        <v>16</v>
      </c>
      <c r="H362">
        <v>0.1115</v>
      </c>
      <c r="I362" t="s">
        <v>16</v>
      </c>
      <c r="J362">
        <v>11</v>
      </c>
      <c r="K362">
        <v>7.1099999999999997E-2</v>
      </c>
      <c r="L362">
        <v>80</v>
      </c>
      <c r="M362">
        <v>76</v>
      </c>
      <c r="N362" t="s">
        <v>173</v>
      </c>
    </row>
    <row r="363" spans="1:14">
      <c r="A363">
        <v>1989</v>
      </c>
      <c r="B363" t="s">
        <v>20</v>
      </c>
      <c r="C363" t="s">
        <v>31</v>
      </c>
      <c r="D363" s="2">
        <v>0.1225</v>
      </c>
      <c r="E363" t="s">
        <v>16</v>
      </c>
      <c r="F363">
        <v>0.111</v>
      </c>
      <c r="G363" t="s">
        <v>16</v>
      </c>
      <c r="H363">
        <v>0.109</v>
      </c>
      <c r="I363" t="s">
        <v>16</v>
      </c>
      <c r="J363">
        <v>71</v>
      </c>
      <c r="K363">
        <v>7.1099999999999997E-2</v>
      </c>
      <c r="L363">
        <v>105</v>
      </c>
      <c r="M363">
        <v>101</v>
      </c>
      <c r="N363" t="s">
        <v>169</v>
      </c>
    </row>
    <row r="364" spans="1:14">
      <c r="A364">
        <v>1989</v>
      </c>
      <c r="B364" t="s">
        <v>20</v>
      </c>
      <c r="C364" t="s">
        <v>18</v>
      </c>
      <c r="D364" s="2">
        <v>0.129</v>
      </c>
      <c r="E364" t="s">
        <v>16</v>
      </c>
      <c r="F364">
        <v>0.1195</v>
      </c>
      <c r="G364" t="s">
        <v>16</v>
      </c>
      <c r="H364">
        <v>0.11849999999999999</v>
      </c>
      <c r="I364" t="s">
        <v>16</v>
      </c>
      <c r="J364">
        <v>121</v>
      </c>
      <c r="K364">
        <v>7.1099999999999997E-2</v>
      </c>
      <c r="L364">
        <v>81</v>
      </c>
      <c r="M364">
        <v>78</v>
      </c>
      <c r="N364" t="s">
        <v>280</v>
      </c>
    </row>
    <row r="365" spans="1:14">
      <c r="A365">
        <v>1989</v>
      </c>
      <c r="B365" t="s">
        <v>20</v>
      </c>
      <c r="C365" t="s">
        <v>248</v>
      </c>
      <c r="D365" s="2">
        <v>0.15</v>
      </c>
      <c r="E365" t="s">
        <v>16</v>
      </c>
      <c r="F365">
        <v>0.1045</v>
      </c>
      <c r="G365" t="s">
        <v>16</v>
      </c>
      <c r="H365">
        <v>0.1045</v>
      </c>
      <c r="I365" t="s">
        <v>16</v>
      </c>
      <c r="J365">
        <v>275</v>
      </c>
      <c r="K365">
        <v>7.1099999999999997E-2</v>
      </c>
      <c r="L365">
        <v>92</v>
      </c>
      <c r="M365">
        <v>89</v>
      </c>
      <c r="N365" t="s">
        <v>174</v>
      </c>
    </row>
    <row r="366" spans="1:14">
      <c r="A366">
        <v>1989</v>
      </c>
      <c r="B366" t="s">
        <v>20</v>
      </c>
      <c r="C366" t="s">
        <v>31</v>
      </c>
      <c r="D366" s="2">
        <v>0.13850000000000001</v>
      </c>
      <c r="E366" t="s">
        <v>16</v>
      </c>
      <c r="F366">
        <v>0.1285</v>
      </c>
      <c r="G366" t="s">
        <v>16</v>
      </c>
      <c r="H366">
        <v>0.1285</v>
      </c>
      <c r="I366" t="s">
        <v>16</v>
      </c>
      <c r="J366">
        <v>341</v>
      </c>
      <c r="K366">
        <v>7.1099999999999997E-2</v>
      </c>
      <c r="L366">
        <v>113</v>
      </c>
      <c r="M366">
        <v>110</v>
      </c>
      <c r="N366" t="s">
        <v>169</v>
      </c>
    </row>
    <row r="367" spans="1:14">
      <c r="A367">
        <v>1989</v>
      </c>
      <c r="B367" t="s">
        <v>20</v>
      </c>
      <c r="C367" t="s">
        <v>31</v>
      </c>
      <c r="D367" s="2">
        <v>0.13700000000000001</v>
      </c>
      <c r="E367" t="s">
        <v>16</v>
      </c>
      <c r="F367">
        <v>0.1295</v>
      </c>
      <c r="G367" t="s">
        <v>16</v>
      </c>
      <c r="H367">
        <v>0.13200000000000001</v>
      </c>
      <c r="I367" t="s">
        <v>16</v>
      </c>
      <c r="J367">
        <v>375</v>
      </c>
      <c r="K367">
        <v>7.1099999999999997E-2</v>
      </c>
      <c r="L367">
        <v>118</v>
      </c>
      <c r="M367">
        <v>113</v>
      </c>
      <c r="N367" t="s">
        <v>169</v>
      </c>
    </row>
    <row r="368" spans="1:14">
      <c r="A368">
        <v>1989</v>
      </c>
      <c r="B368" t="s">
        <v>20</v>
      </c>
      <c r="C368" t="s">
        <v>31</v>
      </c>
      <c r="D368" s="2">
        <v>0.125</v>
      </c>
      <c r="E368" t="s">
        <v>16</v>
      </c>
      <c r="F368">
        <v>0.1135</v>
      </c>
      <c r="G368" t="s">
        <v>16</v>
      </c>
      <c r="H368">
        <v>0.115</v>
      </c>
      <c r="I368" t="s">
        <v>16</v>
      </c>
      <c r="J368">
        <v>451</v>
      </c>
      <c r="K368">
        <v>7.1099999999999997E-2</v>
      </c>
      <c r="L368">
        <v>108</v>
      </c>
      <c r="M368">
        <v>104</v>
      </c>
      <c r="N368" t="s">
        <v>281</v>
      </c>
    </row>
    <row r="369" spans="1:14">
      <c r="A369">
        <v>1989</v>
      </c>
      <c r="B369" t="s">
        <v>20</v>
      </c>
      <c r="C369" t="s">
        <v>55</v>
      </c>
      <c r="D369" s="2">
        <v>0.12330000000000001</v>
      </c>
      <c r="E369" t="s">
        <v>16</v>
      </c>
      <c r="F369">
        <v>0.1144</v>
      </c>
      <c r="G369" t="s">
        <v>16</v>
      </c>
      <c r="H369">
        <v>0.12330000000000001</v>
      </c>
      <c r="I369" t="s">
        <v>16</v>
      </c>
      <c r="J369">
        <v>601</v>
      </c>
      <c r="K369">
        <v>7.1099999999999997E-2</v>
      </c>
      <c r="L369">
        <v>77</v>
      </c>
      <c r="M369">
        <v>73</v>
      </c>
      <c r="N369" t="s">
        <v>281</v>
      </c>
    </row>
    <row r="370" spans="1:14">
      <c r="A370">
        <v>1989</v>
      </c>
      <c r="B370" t="s">
        <v>20</v>
      </c>
      <c r="C370" t="s">
        <v>15</v>
      </c>
      <c r="D370" s="2">
        <v>0.13</v>
      </c>
      <c r="E370" t="s">
        <v>16</v>
      </c>
      <c r="F370">
        <v>0.11799999999999999</v>
      </c>
      <c r="G370" t="s">
        <v>16</v>
      </c>
      <c r="H370">
        <v>0.11799999999999999</v>
      </c>
      <c r="I370" t="s">
        <v>16</v>
      </c>
      <c r="J370">
        <v>478</v>
      </c>
      <c r="K370">
        <v>7.22E-2</v>
      </c>
      <c r="L370">
        <v>65</v>
      </c>
      <c r="M370">
        <v>62</v>
      </c>
      <c r="N370" t="s">
        <v>282</v>
      </c>
    </row>
    <row r="371" spans="1:14">
      <c r="A371">
        <v>1989</v>
      </c>
      <c r="B371" t="s">
        <v>20</v>
      </c>
      <c r="C371" t="s">
        <v>18</v>
      </c>
      <c r="D371" s="2">
        <v>0.12330000000000001</v>
      </c>
      <c r="E371" t="s">
        <v>16</v>
      </c>
      <c r="F371">
        <v>0.1143</v>
      </c>
      <c r="G371" t="s">
        <v>16</v>
      </c>
      <c r="H371">
        <v>0.12330000000000001</v>
      </c>
      <c r="I371" t="s">
        <v>16</v>
      </c>
      <c r="J371">
        <v>181</v>
      </c>
      <c r="K371">
        <v>7.22E-2</v>
      </c>
      <c r="L371">
        <v>69</v>
      </c>
      <c r="M371">
        <v>65</v>
      </c>
      <c r="N371" t="s">
        <v>283</v>
      </c>
    </row>
    <row r="372" spans="1:14">
      <c r="A372">
        <v>1989</v>
      </c>
      <c r="B372" t="s">
        <v>20</v>
      </c>
      <c r="C372" t="s">
        <v>31</v>
      </c>
      <c r="D372" s="2">
        <v>0.13850000000000001</v>
      </c>
      <c r="E372" t="s">
        <v>16</v>
      </c>
      <c r="F372">
        <v>0.1285</v>
      </c>
      <c r="G372" t="s">
        <v>16</v>
      </c>
      <c r="H372">
        <v>0.1285</v>
      </c>
      <c r="I372" t="s">
        <v>16</v>
      </c>
      <c r="J372">
        <v>195</v>
      </c>
      <c r="K372">
        <v>7.22E-2</v>
      </c>
      <c r="L372">
        <v>106</v>
      </c>
      <c r="M372">
        <v>103</v>
      </c>
      <c r="N372" t="s">
        <v>283</v>
      </c>
    </row>
    <row r="373" spans="1:14">
      <c r="A373">
        <v>1989</v>
      </c>
      <c r="B373" t="s">
        <v>20</v>
      </c>
      <c r="C373" t="s">
        <v>18</v>
      </c>
      <c r="D373" s="2">
        <v>0.129</v>
      </c>
      <c r="E373" t="s">
        <v>16</v>
      </c>
      <c r="F373">
        <v>0.12</v>
      </c>
      <c r="G373" t="s">
        <v>16</v>
      </c>
      <c r="H373">
        <v>0.12</v>
      </c>
      <c r="I373" t="s">
        <v>16</v>
      </c>
      <c r="J373">
        <v>255</v>
      </c>
      <c r="K373">
        <v>7.22E-2</v>
      </c>
      <c r="L373">
        <v>62</v>
      </c>
      <c r="M373">
        <v>58</v>
      </c>
      <c r="N373" t="s">
        <v>284</v>
      </c>
    </row>
    <row r="374" spans="1:14">
      <c r="A374">
        <v>1989</v>
      </c>
      <c r="B374" t="s">
        <v>20</v>
      </c>
      <c r="C374" t="s">
        <v>248</v>
      </c>
      <c r="D374" s="2">
        <v>0.15</v>
      </c>
      <c r="E374" t="s">
        <v>16</v>
      </c>
      <c r="F374">
        <v>0.115</v>
      </c>
      <c r="G374" t="s">
        <v>16</v>
      </c>
      <c r="H374">
        <v>0.1075</v>
      </c>
      <c r="I374" t="s">
        <v>16</v>
      </c>
      <c r="J374">
        <v>465</v>
      </c>
      <c r="K374">
        <v>7.22E-2</v>
      </c>
      <c r="L374">
        <v>71</v>
      </c>
      <c r="M374">
        <v>67</v>
      </c>
      <c r="N374" t="s">
        <v>181</v>
      </c>
    </row>
    <row r="375" spans="1:14">
      <c r="A375">
        <v>1989</v>
      </c>
      <c r="B375" t="s">
        <v>20</v>
      </c>
      <c r="C375" t="s">
        <v>31</v>
      </c>
      <c r="D375" s="2">
        <v>0.12239999999999999</v>
      </c>
      <c r="E375" t="s">
        <v>16</v>
      </c>
      <c r="F375">
        <v>0.1144</v>
      </c>
      <c r="G375" t="s">
        <v>16</v>
      </c>
      <c r="H375">
        <v>0.1144</v>
      </c>
      <c r="I375" t="s">
        <v>16</v>
      </c>
      <c r="J375">
        <v>525</v>
      </c>
      <c r="K375">
        <v>7.22E-2</v>
      </c>
      <c r="L375">
        <v>65</v>
      </c>
      <c r="M375">
        <v>61</v>
      </c>
      <c r="N375" t="s">
        <v>181</v>
      </c>
    </row>
    <row r="376" spans="1:14">
      <c r="A376">
        <v>1990</v>
      </c>
      <c r="B376" t="s">
        <v>20</v>
      </c>
      <c r="C376" t="s">
        <v>15</v>
      </c>
      <c r="D376" s="2">
        <v>0.14699999999999999</v>
      </c>
      <c r="E376" t="s">
        <v>16</v>
      </c>
      <c r="F376">
        <v>0.13800000000000001</v>
      </c>
      <c r="G376" t="s">
        <v>16</v>
      </c>
      <c r="H376">
        <v>0.13700000000000001</v>
      </c>
      <c r="I376" t="s">
        <v>16</v>
      </c>
      <c r="J376">
        <v>41</v>
      </c>
      <c r="K376">
        <v>7.5899999999999995E-2</v>
      </c>
      <c r="L376">
        <v>65</v>
      </c>
      <c r="M376">
        <v>62</v>
      </c>
      <c r="N376" t="s">
        <v>285</v>
      </c>
    </row>
    <row r="377" spans="1:14">
      <c r="A377">
        <v>1990</v>
      </c>
      <c r="B377" t="s">
        <v>20</v>
      </c>
      <c r="C377" t="s">
        <v>18</v>
      </c>
      <c r="D377" s="2">
        <v>0.16900000000000001</v>
      </c>
      <c r="E377" t="s">
        <v>16</v>
      </c>
      <c r="F377">
        <v>0.16500000000000001</v>
      </c>
      <c r="G377" t="s">
        <v>16</v>
      </c>
      <c r="H377">
        <v>0.16500000000000001</v>
      </c>
      <c r="I377" t="s">
        <v>16</v>
      </c>
      <c r="J377">
        <v>165</v>
      </c>
      <c r="K377">
        <v>7.7600000000000002E-2</v>
      </c>
      <c r="L377">
        <v>77</v>
      </c>
      <c r="M377">
        <v>73</v>
      </c>
      <c r="N377" t="s">
        <v>286</v>
      </c>
    </row>
    <row r="378" spans="1:14">
      <c r="A378">
        <v>1990</v>
      </c>
      <c r="B378" t="s">
        <v>20</v>
      </c>
      <c r="C378" t="s">
        <v>18</v>
      </c>
      <c r="D378" s="2">
        <v>0.154</v>
      </c>
      <c r="E378" t="s">
        <v>16</v>
      </c>
      <c r="F378">
        <v>0.14699999999999999</v>
      </c>
      <c r="G378" t="s">
        <v>16</v>
      </c>
      <c r="H378">
        <v>0.14899999999999999</v>
      </c>
      <c r="I378" t="s">
        <v>16</v>
      </c>
      <c r="J378">
        <v>281</v>
      </c>
      <c r="K378">
        <v>7.7600000000000002E-2</v>
      </c>
      <c r="L378">
        <v>88</v>
      </c>
      <c r="M378">
        <v>85</v>
      </c>
      <c r="N378" t="s">
        <v>287</v>
      </c>
    </row>
    <row r="379" spans="1:14">
      <c r="A379">
        <v>1990</v>
      </c>
      <c r="B379" t="s">
        <v>20</v>
      </c>
      <c r="C379" t="s">
        <v>55</v>
      </c>
      <c r="D379" s="2">
        <v>0.15440000000000001</v>
      </c>
      <c r="E379" t="s">
        <v>16</v>
      </c>
      <c r="F379">
        <v>0.14990000000000001</v>
      </c>
      <c r="G379" t="s">
        <v>16</v>
      </c>
      <c r="H379">
        <v>0.15090000000000001</v>
      </c>
      <c r="I379" t="s">
        <v>16</v>
      </c>
      <c r="J379">
        <v>365</v>
      </c>
      <c r="K379">
        <v>7.7600000000000002E-2</v>
      </c>
      <c r="L379">
        <v>97</v>
      </c>
      <c r="M379">
        <v>94</v>
      </c>
      <c r="N379" t="s">
        <v>189</v>
      </c>
    </row>
    <row r="380" spans="1:14">
      <c r="A380">
        <v>1990</v>
      </c>
      <c r="B380" t="s">
        <v>20</v>
      </c>
      <c r="C380" t="s">
        <v>31</v>
      </c>
      <c r="D380" s="2">
        <v>0.1525</v>
      </c>
      <c r="E380" t="s">
        <v>16</v>
      </c>
      <c r="F380">
        <v>0.15049999999999999</v>
      </c>
      <c r="G380" t="s">
        <v>16</v>
      </c>
      <c r="H380">
        <v>0.14949999999999999</v>
      </c>
      <c r="I380" t="s">
        <v>16</v>
      </c>
      <c r="J380">
        <v>601</v>
      </c>
      <c r="K380">
        <v>7.7600000000000002E-2</v>
      </c>
      <c r="L380">
        <v>77</v>
      </c>
      <c r="M380">
        <v>73</v>
      </c>
      <c r="N380" t="s">
        <v>190</v>
      </c>
    </row>
    <row r="381" spans="1:14">
      <c r="A381">
        <v>1990</v>
      </c>
      <c r="B381" t="s">
        <v>20</v>
      </c>
      <c r="C381" t="s">
        <v>55</v>
      </c>
      <c r="D381" s="2">
        <v>0.16450000000000001</v>
      </c>
      <c r="E381" t="s">
        <v>16</v>
      </c>
      <c r="F381">
        <v>0.157</v>
      </c>
      <c r="G381" t="s">
        <v>16</v>
      </c>
      <c r="H381">
        <v>0.157</v>
      </c>
      <c r="I381" t="s">
        <v>16</v>
      </c>
      <c r="J381">
        <v>11</v>
      </c>
      <c r="K381">
        <v>0.08</v>
      </c>
      <c r="L381">
        <v>80</v>
      </c>
      <c r="M381">
        <v>76</v>
      </c>
      <c r="N381" t="s">
        <v>198</v>
      </c>
    </row>
    <row r="382" spans="1:14">
      <c r="A382">
        <v>1990</v>
      </c>
      <c r="B382" t="s">
        <v>20</v>
      </c>
      <c r="C382" t="s">
        <v>243</v>
      </c>
      <c r="D382" s="2">
        <v>0.16</v>
      </c>
      <c r="E382" t="s">
        <v>16</v>
      </c>
      <c r="F382">
        <v>0.14749999999999999</v>
      </c>
      <c r="G382" t="s">
        <v>16</v>
      </c>
      <c r="H382">
        <v>0.14749999999999999</v>
      </c>
      <c r="I382" t="s">
        <v>16</v>
      </c>
      <c r="J382">
        <v>71</v>
      </c>
      <c r="K382">
        <v>0.08</v>
      </c>
      <c r="L382">
        <v>105</v>
      </c>
      <c r="M382">
        <v>101</v>
      </c>
      <c r="N382" t="s">
        <v>288</v>
      </c>
    </row>
    <row r="383" spans="1:14">
      <c r="A383">
        <v>1990</v>
      </c>
      <c r="B383" t="s">
        <v>20</v>
      </c>
      <c r="C383" t="s">
        <v>18</v>
      </c>
      <c r="D383" s="2">
        <v>0.17499999999999999</v>
      </c>
      <c r="E383" t="s">
        <v>16</v>
      </c>
      <c r="F383">
        <v>0.16500000000000001</v>
      </c>
      <c r="G383" t="s">
        <v>16</v>
      </c>
      <c r="H383">
        <v>0.16500000000000001</v>
      </c>
      <c r="I383" t="s">
        <v>16</v>
      </c>
      <c r="J383">
        <v>121</v>
      </c>
      <c r="K383">
        <v>0.08</v>
      </c>
      <c r="L383">
        <v>81</v>
      </c>
      <c r="M383">
        <v>78</v>
      </c>
      <c r="N383" t="s">
        <v>289</v>
      </c>
    </row>
    <row r="384" spans="1:14">
      <c r="A384">
        <v>1990</v>
      </c>
      <c r="B384" t="s">
        <v>20</v>
      </c>
      <c r="C384" t="s">
        <v>18</v>
      </c>
      <c r="D384" s="2">
        <v>0.154</v>
      </c>
      <c r="E384" t="s">
        <v>16</v>
      </c>
      <c r="F384">
        <v>0.14849999999999999</v>
      </c>
      <c r="G384" t="s">
        <v>16</v>
      </c>
      <c r="H384">
        <v>0.14949999999999999</v>
      </c>
      <c r="I384" t="s">
        <v>16</v>
      </c>
      <c r="J384">
        <v>181</v>
      </c>
      <c r="K384">
        <v>0.08</v>
      </c>
      <c r="L384">
        <v>69</v>
      </c>
      <c r="M384">
        <v>65</v>
      </c>
      <c r="N384" t="s">
        <v>193</v>
      </c>
    </row>
    <row r="385" spans="1:14">
      <c r="A385">
        <v>1990</v>
      </c>
      <c r="B385" t="s">
        <v>20</v>
      </c>
      <c r="C385" t="s">
        <v>248</v>
      </c>
      <c r="D385" s="2">
        <v>0.17</v>
      </c>
      <c r="E385" t="s">
        <v>16</v>
      </c>
      <c r="F385">
        <v>0.1195</v>
      </c>
      <c r="G385" t="s">
        <v>16</v>
      </c>
      <c r="H385">
        <v>0.1187</v>
      </c>
      <c r="I385" t="s">
        <v>16</v>
      </c>
      <c r="J385">
        <v>275</v>
      </c>
      <c r="K385">
        <v>0.08</v>
      </c>
      <c r="L385">
        <v>92</v>
      </c>
      <c r="M385">
        <v>89</v>
      </c>
      <c r="N385" t="s">
        <v>199</v>
      </c>
    </row>
    <row r="386" spans="1:14">
      <c r="A386">
        <v>1990</v>
      </c>
      <c r="B386" t="s">
        <v>20</v>
      </c>
      <c r="C386" t="s">
        <v>31</v>
      </c>
      <c r="D386" s="2">
        <v>0.15490000000000001</v>
      </c>
      <c r="E386" t="s">
        <v>16</v>
      </c>
      <c r="F386">
        <v>0.15240000000000001</v>
      </c>
      <c r="G386" t="s">
        <v>16</v>
      </c>
      <c r="H386">
        <v>0.151</v>
      </c>
      <c r="I386" t="s">
        <v>16</v>
      </c>
      <c r="J386">
        <v>341</v>
      </c>
      <c r="K386">
        <v>0.08</v>
      </c>
      <c r="L386">
        <v>113</v>
      </c>
      <c r="M386">
        <v>110</v>
      </c>
      <c r="N386" t="s">
        <v>199</v>
      </c>
    </row>
    <row r="387" spans="1:14">
      <c r="A387">
        <v>1990</v>
      </c>
      <c r="B387" t="s">
        <v>20</v>
      </c>
      <c r="C387" t="s">
        <v>31</v>
      </c>
      <c r="D387" s="2">
        <v>0.1575</v>
      </c>
      <c r="E387" t="s">
        <v>16</v>
      </c>
      <c r="F387">
        <v>0.15490000000000001</v>
      </c>
      <c r="G387" t="s">
        <v>16</v>
      </c>
      <c r="H387">
        <v>0.15440000000000001</v>
      </c>
      <c r="I387" t="s">
        <v>16</v>
      </c>
      <c r="J387">
        <v>375</v>
      </c>
      <c r="K387">
        <v>0.08</v>
      </c>
      <c r="L387">
        <v>118</v>
      </c>
      <c r="M387">
        <v>113</v>
      </c>
      <c r="N387" t="s">
        <v>289</v>
      </c>
    </row>
    <row r="388" spans="1:14">
      <c r="A388">
        <v>1990</v>
      </c>
      <c r="B388" t="s">
        <v>20</v>
      </c>
      <c r="C388" t="s">
        <v>243</v>
      </c>
      <c r="D388" s="2">
        <v>0.17249999999999999</v>
      </c>
      <c r="E388" t="s">
        <v>16</v>
      </c>
      <c r="F388">
        <v>0.16900000000000001</v>
      </c>
      <c r="G388" t="s">
        <v>16</v>
      </c>
      <c r="H388">
        <v>0.16900000000000001</v>
      </c>
      <c r="I388" t="s">
        <v>16</v>
      </c>
      <c r="J388">
        <v>451</v>
      </c>
      <c r="K388">
        <v>0.08</v>
      </c>
      <c r="L388">
        <v>108</v>
      </c>
      <c r="M388">
        <v>104</v>
      </c>
      <c r="N388" t="s">
        <v>290</v>
      </c>
    </row>
    <row r="389" spans="1:14">
      <c r="A389">
        <v>1990</v>
      </c>
      <c r="B389" t="s">
        <v>20</v>
      </c>
      <c r="C389" t="s">
        <v>248</v>
      </c>
      <c r="D389" s="2">
        <v>0.18</v>
      </c>
      <c r="E389" t="s">
        <v>16</v>
      </c>
      <c r="F389">
        <v>0.14000000000000001</v>
      </c>
      <c r="G389" t="s">
        <v>16</v>
      </c>
      <c r="H389">
        <v>0.13650000000000001</v>
      </c>
      <c r="I389" t="s">
        <v>16</v>
      </c>
      <c r="J389">
        <v>465</v>
      </c>
      <c r="K389">
        <v>0.08</v>
      </c>
      <c r="L389">
        <v>71</v>
      </c>
      <c r="M389">
        <v>67</v>
      </c>
      <c r="N389" t="s">
        <v>291</v>
      </c>
    </row>
    <row r="390" spans="1:14">
      <c r="A390">
        <v>1990</v>
      </c>
      <c r="B390" t="s">
        <v>20</v>
      </c>
      <c r="C390" t="s">
        <v>15</v>
      </c>
      <c r="D390" s="2">
        <v>0.156</v>
      </c>
      <c r="E390" t="s">
        <v>16</v>
      </c>
      <c r="F390">
        <v>0.152</v>
      </c>
      <c r="G390" t="s">
        <v>16</v>
      </c>
      <c r="H390">
        <v>0.152</v>
      </c>
      <c r="I390" t="s">
        <v>16</v>
      </c>
      <c r="J390">
        <v>525</v>
      </c>
      <c r="K390">
        <v>0.08</v>
      </c>
      <c r="L390">
        <v>65</v>
      </c>
      <c r="M390">
        <v>61</v>
      </c>
      <c r="N390" t="s">
        <v>292</v>
      </c>
    </row>
    <row r="391" spans="1:14">
      <c r="A391">
        <v>1990</v>
      </c>
      <c r="B391" t="s">
        <v>20</v>
      </c>
      <c r="C391" t="s">
        <v>15</v>
      </c>
      <c r="D391" s="2">
        <v>0.16400000000000001</v>
      </c>
      <c r="E391" t="s">
        <v>16</v>
      </c>
      <c r="F391">
        <v>0.16</v>
      </c>
      <c r="G391" t="s">
        <v>16</v>
      </c>
      <c r="H391">
        <v>0.16</v>
      </c>
      <c r="I391" t="s">
        <v>16</v>
      </c>
      <c r="J391">
        <v>478</v>
      </c>
      <c r="K391">
        <v>8.2699999999999996E-2</v>
      </c>
      <c r="L391">
        <v>65</v>
      </c>
      <c r="M391">
        <v>62</v>
      </c>
      <c r="N391" t="s">
        <v>293</v>
      </c>
    </row>
    <row r="392" spans="1:14">
      <c r="A392">
        <v>1991</v>
      </c>
      <c r="B392" t="s">
        <v>20</v>
      </c>
      <c r="C392" t="s">
        <v>31</v>
      </c>
      <c r="D392" s="2">
        <v>0.14649999999999999</v>
      </c>
      <c r="E392" t="s">
        <v>16</v>
      </c>
      <c r="F392">
        <v>0.14349999999999999</v>
      </c>
      <c r="G392" t="s">
        <v>16</v>
      </c>
      <c r="H392">
        <v>0.14349999999999999</v>
      </c>
      <c r="I392" t="s">
        <v>16</v>
      </c>
      <c r="J392">
        <v>375</v>
      </c>
      <c r="K392">
        <v>6.6299999999999998E-2</v>
      </c>
      <c r="L392">
        <v>118</v>
      </c>
      <c r="M392">
        <v>113</v>
      </c>
      <c r="N392" t="s">
        <v>213</v>
      </c>
    </row>
    <row r="393" spans="1:14">
      <c r="A393">
        <v>1991</v>
      </c>
      <c r="B393" t="s">
        <v>20</v>
      </c>
      <c r="C393" t="s">
        <v>55</v>
      </c>
      <c r="D393" s="2">
        <v>0.13639999999999999</v>
      </c>
      <c r="E393" t="s">
        <v>16</v>
      </c>
      <c r="F393">
        <v>0.12740000000000001</v>
      </c>
      <c r="G393" t="s">
        <v>16</v>
      </c>
      <c r="H393">
        <v>0.12740000000000001</v>
      </c>
      <c r="I393" t="s">
        <v>16</v>
      </c>
      <c r="J393">
        <v>341</v>
      </c>
      <c r="K393">
        <v>6.8199999999999997E-2</v>
      </c>
      <c r="L393">
        <v>113</v>
      </c>
      <c r="M393">
        <v>110</v>
      </c>
      <c r="N393" t="s">
        <v>294</v>
      </c>
    </row>
  </sheetData>
  <pageMargins left="0.75" right="0.75" top="1" bottom="1" header="0.5" footer="0.5"/>
  <pageSetup orientation="portrait"/>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98"/>
  <sheetViews>
    <sheetView topLeftCell="G37" zoomScale="81" zoomScaleNormal="48" zoomScaleSheetLayoutView="85" workbookViewId="0">
      <selection activeCell="G116" sqref="A78:G116"/>
    </sheetView>
  </sheetViews>
  <sheetFormatPr defaultColWidth="9" defaultRowHeight="12.75"/>
  <cols>
    <col min="2" max="2" width="14.42578125" customWidth="1"/>
    <col min="3" max="3" width="13.7109375" customWidth="1"/>
    <col min="7" max="7" width="13.42578125" customWidth="1"/>
    <col min="8" max="8" width="14.140625" customWidth="1"/>
    <col min="9" max="9" width="15.28515625" customWidth="1"/>
    <col min="11" max="11" width="21" customWidth="1"/>
    <col min="12" max="12" width="18.85546875" customWidth="1"/>
    <col min="13" max="13" width="8.7109375" customWidth="1"/>
    <col min="14" max="14" width="17.85546875" customWidth="1"/>
    <col min="15" max="15" width="11.28515625" customWidth="1"/>
    <col min="16" max="16" width="14.140625" customWidth="1"/>
    <col min="17" max="17" width="8.7109375" customWidth="1"/>
    <col min="18" max="18" width="17.85546875" customWidth="1"/>
    <col min="19" max="19" width="9.85546875" customWidth="1"/>
    <col min="20" max="20" width="14.140625" customWidth="1"/>
    <col min="21" max="21" width="8.7109375" customWidth="1"/>
    <col min="22" max="22" width="17.85546875" customWidth="1"/>
    <col min="23" max="23" width="9.85546875" customWidth="1"/>
    <col min="24" max="24" width="14.140625" customWidth="1"/>
    <col min="25" max="25" width="8.7109375" customWidth="1"/>
    <col min="26" max="26" width="17.85546875" customWidth="1"/>
    <col min="27" max="27" width="9.85546875" customWidth="1"/>
    <col min="28" max="28" width="14.140625" customWidth="1"/>
    <col min="29" max="29" width="8.7109375" customWidth="1"/>
    <col min="30" max="30" width="17.85546875" customWidth="1"/>
    <col min="31" max="31" width="9.85546875" customWidth="1"/>
    <col min="32" max="32" width="14.140625" customWidth="1"/>
    <col min="33" max="33" width="8.7109375" customWidth="1"/>
    <col min="34" max="34" width="17.85546875" customWidth="1"/>
    <col min="35" max="35" width="9.85546875" customWidth="1"/>
    <col min="36" max="36" width="14.140625" customWidth="1"/>
    <col min="37" max="37" width="8.7109375" customWidth="1"/>
    <col min="38" max="38" width="17.85546875" customWidth="1"/>
    <col min="39" max="39" width="9.85546875" customWidth="1"/>
    <col min="40" max="40" width="14.140625" customWidth="1"/>
    <col min="41" max="41" width="8.7109375" customWidth="1"/>
    <col min="42" max="42" width="17.85546875" customWidth="1"/>
    <col min="43" max="43" width="9.85546875" customWidth="1"/>
    <col min="44" max="44" width="14.140625" customWidth="1"/>
    <col min="45" max="45" width="8.7109375" customWidth="1"/>
    <col min="46" max="46" width="17.85546875" customWidth="1"/>
    <col min="47" max="47" width="9.85546875" customWidth="1"/>
    <col min="48" max="48" width="11.28515625" customWidth="1"/>
  </cols>
  <sheetData>
    <row r="1" spans="1:33">
      <c r="A1" s="1" t="s">
        <v>0</v>
      </c>
      <c r="B1" s="1" t="s">
        <v>1</v>
      </c>
      <c r="C1" s="1" t="s">
        <v>2</v>
      </c>
      <c r="D1" s="1" t="s">
        <v>4</v>
      </c>
      <c r="E1" s="1" t="s">
        <v>6</v>
      </c>
      <c r="F1" s="1" t="s">
        <v>8</v>
      </c>
      <c r="G1" s="1" t="s">
        <v>295</v>
      </c>
      <c r="H1" s="1" t="s">
        <v>296</v>
      </c>
      <c r="J1" s="1" t="s">
        <v>297</v>
      </c>
    </row>
    <row r="2" spans="1:33">
      <c r="A2">
        <v>1983</v>
      </c>
      <c r="B2" t="s">
        <v>298</v>
      </c>
      <c r="C2" t="s">
        <v>299</v>
      </c>
      <c r="D2">
        <v>76055</v>
      </c>
      <c r="E2">
        <v>81645</v>
      </c>
      <c r="F2" t="s">
        <v>16</v>
      </c>
      <c r="G2">
        <f>SUM(D2:F2)</f>
        <v>157700</v>
      </c>
      <c r="K2">
        <v>1983</v>
      </c>
      <c r="L2">
        <v>1984</v>
      </c>
      <c r="M2">
        <v>1985</v>
      </c>
      <c r="N2">
        <v>1986</v>
      </c>
      <c r="O2">
        <v>1987</v>
      </c>
      <c r="P2">
        <v>1988</v>
      </c>
      <c r="Q2">
        <v>1989</v>
      </c>
      <c r="R2">
        <v>1990</v>
      </c>
      <c r="S2">
        <v>1991</v>
      </c>
      <c r="U2" t="s">
        <v>300</v>
      </c>
    </row>
    <row r="3" spans="1:33">
      <c r="A3">
        <v>1983</v>
      </c>
      <c r="B3" t="s">
        <v>298</v>
      </c>
      <c r="C3" t="s">
        <v>299</v>
      </c>
      <c r="D3">
        <v>51404</v>
      </c>
      <c r="E3">
        <v>292086</v>
      </c>
      <c r="F3">
        <v>429493</v>
      </c>
      <c r="G3">
        <f t="shared" ref="G3:G66" si="0">SUM(D3:F3)</f>
        <v>772983</v>
      </c>
      <c r="I3" t="s">
        <v>298</v>
      </c>
      <c r="J3" t="s">
        <v>299</v>
      </c>
      <c r="K3">
        <f>SUMIFS($G$2:$G$393,$A$2:$A$393,K2,$B$2:$B$393,$I$3,$C$2:$C$393,$J$3)</f>
        <v>2645069</v>
      </c>
      <c r="L3">
        <f t="shared" ref="L3:S3" si="1">SUMIFS($G$2:$G$393,$A$2:$A$393,L2,$B$2:$B$393,$I$3,$C$2:$C$393,$J$3)</f>
        <v>1423440</v>
      </c>
      <c r="M3">
        <f t="shared" si="1"/>
        <v>1639322</v>
      </c>
      <c r="N3">
        <f t="shared" si="1"/>
        <v>1998158</v>
      </c>
      <c r="O3">
        <f t="shared" si="1"/>
        <v>2092860</v>
      </c>
      <c r="P3">
        <f t="shared" si="1"/>
        <v>2236928</v>
      </c>
      <c r="Q3">
        <f t="shared" si="1"/>
        <v>1173378</v>
      </c>
      <c r="R3">
        <f t="shared" si="1"/>
        <v>1099080</v>
      </c>
      <c r="S3">
        <f t="shared" si="1"/>
        <v>2273754</v>
      </c>
      <c r="U3">
        <f>SUM(K3:S3)</f>
        <v>16581989</v>
      </c>
    </row>
    <row r="4" spans="1:33">
      <c r="A4">
        <v>1983</v>
      </c>
      <c r="B4" t="s">
        <v>298</v>
      </c>
      <c r="C4" t="s">
        <v>299</v>
      </c>
      <c r="D4">
        <v>195944</v>
      </c>
      <c r="E4">
        <v>77752</v>
      </c>
      <c r="F4">
        <v>108528</v>
      </c>
      <c r="G4">
        <f t="shared" si="0"/>
        <v>382224</v>
      </c>
      <c r="J4" t="s">
        <v>301</v>
      </c>
      <c r="K4">
        <f>SUMIFS($G$2:$G$393,$A$2:$A$393,K2,$B$2:$B$393,$I$3,$C$2:$C$393,$J$4)</f>
        <v>284114</v>
      </c>
      <c r="L4">
        <f t="shared" ref="L4:S4" si="2">SUMIFS($G$2:$G$393,$A$2:$A$393,L2,$B$2:$B$393,$I$3,$C$2:$C$393,$J$4)</f>
        <v>1724088</v>
      </c>
      <c r="M4">
        <f t="shared" si="2"/>
        <v>1720487</v>
      </c>
      <c r="N4">
        <f t="shared" si="2"/>
        <v>1685001</v>
      </c>
      <c r="O4">
        <f t="shared" si="2"/>
        <v>2000349</v>
      </c>
      <c r="P4">
        <f t="shared" si="2"/>
        <v>1936171</v>
      </c>
      <c r="Q4">
        <f t="shared" si="2"/>
        <v>2452682</v>
      </c>
      <c r="R4">
        <f t="shared" si="2"/>
        <v>2686368</v>
      </c>
      <c r="S4">
        <f t="shared" si="2"/>
        <v>2679492</v>
      </c>
      <c r="U4">
        <f t="shared" ref="U4:U5" si="3">SUM(K4:S4)</f>
        <v>17168752</v>
      </c>
    </row>
    <row r="5" spans="1:33">
      <c r="A5">
        <v>1983</v>
      </c>
      <c r="B5" t="s">
        <v>298</v>
      </c>
      <c r="C5" t="s">
        <v>299</v>
      </c>
      <c r="D5" t="s">
        <v>16</v>
      </c>
      <c r="E5">
        <v>24360</v>
      </c>
      <c r="F5" t="s">
        <v>16</v>
      </c>
      <c r="G5">
        <f t="shared" si="0"/>
        <v>24360</v>
      </c>
      <c r="J5" t="s">
        <v>302</v>
      </c>
      <c r="K5">
        <f>SUM(K3:K4)</f>
        <v>2929183</v>
      </c>
      <c r="L5">
        <f t="shared" ref="L5:S5" si="4">SUM(L3:L4)</f>
        <v>3147528</v>
      </c>
      <c r="M5">
        <f t="shared" si="4"/>
        <v>3359809</v>
      </c>
      <c r="N5">
        <f t="shared" si="4"/>
        <v>3683159</v>
      </c>
      <c r="O5">
        <f t="shared" si="4"/>
        <v>4093209</v>
      </c>
      <c r="P5">
        <f t="shared" si="4"/>
        <v>4173099</v>
      </c>
      <c r="Q5">
        <f t="shared" si="4"/>
        <v>3626060</v>
      </c>
      <c r="R5">
        <f t="shared" si="4"/>
        <v>3785448</v>
      </c>
      <c r="S5">
        <f t="shared" si="4"/>
        <v>4953246</v>
      </c>
      <c r="U5">
        <f t="shared" si="3"/>
        <v>33750741</v>
      </c>
    </row>
    <row r="6" spans="1:33">
      <c r="A6">
        <v>1983</v>
      </c>
      <c r="B6" t="s">
        <v>298</v>
      </c>
      <c r="C6" t="s">
        <v>299</v>
      </c>
      <c r="D6" t="s">
        <v>16</v>
      </c>
      <c r="E6">
        <v>192879</v>
      </c>
      <c r="F6">
        <v>1010377</v>
      </c>
      <c r="G6">
        <f t="shared" si="0"/>
        <v>1203256</v>
      </c>
    </row>
    <row r="7" spans="1:33">
      <c r="A7">
        <v>1983</v>
      </c>
      <c r="B7" t="s">
        <v>298</v>
      </c>
      <c r="C7" t="s">
        <v>299</v>
      </c>
      <c r="D7">
        <v>10387</v>
      </c>
      <c r="E7">
        <v>11750</v>
      </c>
      <c r="F7">
        <v>82409</v>
      </c>
      <c r="G7">
        <f t="shared" si="0"/>
        <v>104546</v>
      </c>
      <c r="J7" s="1" t="s">
        <v>303</v>
      </c>
    </row>
    <row r="8" spans="1:33">
      <c r="A8">
        <v>1984</v>
      </c>
      <c r="B8" t="s">
        <v>298</v>
      </c>
      <c r="C8" t="s">
        <v>299</v>
      </c>
      <c r="D8">
        <v>183816</v>
      </c>
      <c r="E8">
        <v>82416</v>
      </c>
      <c r="F8">
        <v>232854</v>
      </c>
      <c r="G8">
        <f t="shared" si="0"/>
        <v>499086</v>
      </c>
      <c r="K8">
        <v>1983</v>
      </c>
      <c r="L8">
        <v>1984</v>
      </c>
      <c r="M8">
        <v>1985</v>
      </c>
      <c r="N8">
        <v>1986</v>
      </c>
      <c r="O8">
        <v>1987</v>
      </c>
      <c r="P8">
        <v>1988</v>
      </c>
      <c r="Q8">
        <v>1989</v>
      </c>
      <c r="R8">
        <v>1990</v>
      </c>
      <c r="S8">
        <v>1991</v>
      </c>
      <c r="Y8">
        <v>1983</v>
      </c>
      <c r="Z8">
        <v>1984</v>
      </c>
      <c r="AA8">
        <v>1985</v>
      </c>
      <c r="AB8">
        <v>1986</v>
      </c>
      <c r="AC8">
        <v>1987</v>
      </c>
      <c r="AD8">
        <v>1988</v>
      </c>
      <c r="AE8">
        <v>1989</v>
      </c>
      <c r="AF8">
        <v>1990</v>
      </c>
      <c r="AG8">
        <v>1991</v>
      </c>
    </row>
    <row r="9" spans="1:33">
      <c r="A9">
        <v>1984</v>
      </c>
      <c r="B9" t="s">
        <v>298</v>
      </c>
      <c r="C9" t="s">
        <v>299</v>
      </c>
      <c r="D9">
        <v>51404</v>
      </c>
      <c r="E9">
        <v>292086</v>
      </c>
      <c r="F9">
        <v>429493</v>
      </c>
      <c r="G9">
        <f t="shared" si="0"/>
        <v>772983</v>
      </c>
      <c r="I9" t="s">
        <v>298</v>
      </c>
      <c r="J9" t="s">
        <v>299</v>
      </c>
      <c r="K9" s="14">
        <f>K3/K5</f>
        <v>0.90300571865943502</v>
      </c>
      <c r="L9" s="14">
        <f t="shared" ref="L9:S9" si="5">L3/L5</f>
        <v>0.45224061549253902</v>
      </c>
      <c r="M9" s="14">
        <f t="shared" si="5"/>
        <v>0.48792118837707699</v>
      </c>
      <c r="N9" s="14">
        <f t="shared" si="5"/>
        <v>0.54251201210699795</v>
      </c>
      <c r="O9" s="14">
        <f t="shared" si="5"/>
        <v>0.51130054683257098</v>
      </c>
      <c r="P9" s="14">
        <f t="shared" si="5"/>
        <v>0.53603521028377199</v>
      </c>
      <c r="Q9" s="14">
        <f t="shared" si="5"/>
        <v>0.32359585886609699</v>
      </c>
      <c r="R9" s="14">
        <f t="shared" si="5"/>
        <v>0.29034344151603703</v>
      </c>
      <c r="S9" s="14">
        <f t="shared" si="5"/>
        <v>0.45904322135423897</v>
      </c>
      <c r="X9" t="s">
        <v>299</v>
      </c>
      <c r="Y9">
        <v>0.90300571865943502</v>
      </c>
      <c r="Z9">
        <v>0.45224061549253902</v>
      </c>
      <c r="AA9">
        <v>0.48792118837707699</v>
      </c>
      <c r="AB9">
        <v>0.54251201210699795</v>
      </c>
      <c r="AC9">
        <v>0.51130054683257098</v>
      </c>
      <c r="AD9">
        <v>0.53603521028377199</v>
      </c>
      <c r="AE9">
        <v>0.32359585886609699</v>
      </c>
      <c r="AF9">
        <v>0.29034344151603703</v>
      </c>
      <c r="AG9">
        <v>0.45904322135423897</v>
      </c>
    </row>
    <row r="10" spans="1:33">
      <c r="A10">
        <v>1984</v>
      </c>
      <c r="B10" t="s">
        <v>298</v>
      </c>
      <c r="C10" t="s">
        <v>299</v>
      </c>
      <c r="D10" t="s">
        <v>16</v>
      </c>
      <c r="E10">
        <v>24360</v>
      </c>
      <c r="F10" t="s">
        <v>16</v>
      </c>
      <c r="G10">
        <f t="shared" si="0"/>
        <v>24360</v>
      </c>
      <c r="J10" t="s">
        <v>301</v>
      </c>
      <c r="K10" s="14">
        <f>K4/K5</f>
        <v>9.6994281340564897E-2</v>
      </c>
      <c r="L10" s="14">
        <f t="shared" ref="L10:S10" si="6">L4/L5</f>
        <v>0.54775938450746098</v>
      </c>
      <c r="M10" s="14">
        <f t="shared" si="6"/>
        <v>0.51207881162292301</v>
      </c>
      <c r="N10" s="14">
        <f t="shared" si="6"/>
        <v>0.45748798789300199</v>
      </c>
      <c r="O10" s="14">
        <f t="shared" si="6"/>
        <v>0.48869945316742902</v>
      </c>
      <c r="P10" s="14">
        <f t="shared" si="6"/>
        <v>0.46396478971622801</v>
      </c>
      <c r="Q10" s="14">
        <f t="shared" si="6"/>
        <v>0.67640414113390301</v>
      </c>
      <c r="R10" s="14">
        <f t="shared" si="6"/>
        <v>0.70965655848396303</v>
      </c>
      <c r="S10" s="14">
        <f t="shared" si="6"/>
        <v>0.54095677864576097</v>
      </c>
      <c r="X10" t="s">
        <v>301</v>
      </c>
      <c r="Y10">
        <v>9.6994281340564897E-2</v>
      </c>
      <c r="Z10">
        <v>0.54775938450746098</v>
      </c>
      <c r="AA10">
        <v>0.51207881162292301</v>
      </c>
      <c r="AB10">
        <v>0.45748798789300199</v>
      </c>
      <c r="AC10">
        <v>0.48869945316742902</v>
      </c>
      <c r="AD10">
        <v>0.46396478971622801</v>
      </c>
      <c r="AE10">
        <v>0.67640414113390301</v>
      </c>
      <c r="AF10">
        <v>0.70965655848396303</v>
      </c>
      <c r="AG10">
        <v>0.54095677864576097</v>
      </c>
    </row>
    <row r="11" spans="1:33">
      <c r="A11">
        <v>1984</v>
      </c>
      <c r="B11" t="s">
        <v>298</v>
      </c>
      <c r="C11" t="s">
        <v>299</v>
      </c>
      <c r="D11">
        <v>10387</v>
      </c>
      <c r="E11">
        <v>11750</v>
      </c>
      <c r="F11">
        <v>82409</v>
      </c>
      <c r="G11">
        <f t="shared" si="0"/>
        <v>104546</v>
      </c>
    </row>
    <row r="12" spans="1:33">
      <c r="A12">
        <v>1984</v>
      </c>
      <c r="B12" t="s">
        <v>298</v>
      </c>
      <c r="C12" t="s">
        <v>299</v>
      </c>
      <c r="D12" t="s">
        <v>16</v>
      </c>
      <c r="E12">
        <v>22465</v>
      </c>
      <c r="F12" t="s">
        <v>16</v>
      </c>
      <c r="G12">
        <f t="shared" si="0"/>
        <v>22465</v>
      </c>
    </row>
    <row r="13" spans="1:33">
      <c r="A13">
        <v>1985</v>
      </c>
      <c r="B13" t="s">
        <v>298</v>
      </c>
      <c r="C13" t="s">
        <v>299</v>
      </c>
      <c r="D13">
        <v>129366</v>
      </c>
      <c r="E13">
        <v>78807</v>
      </c>
      <c r="F13">
        <v>276279</v>
      </c>
      <c r="G13">
        <f t="shared" si="0"/>
        <v>484452</v>
      </c>
      <c r="J13" s="19" t="s">
        <v>304</v>
      </c>
      <c r="K13" s="19"/>
      <c r="L13" s="19"/>
      <c r="M13">
        <f>SUM(G2:G116)</f>
        <v>33750741</v>
      </c>
    </row>
    <row r="14" spans="1:33">
      <c r="A14">
        <v>1985</v>
      </c>
      <c r="B14" t="s">
        <v>298</v>
      </c>
      <c r="C14" t="s">
        <v>299</v>
      </c>
      <c r="D14">
        <v>19806</v>
      </c>
      <c r="E14">
        <v>28090</v>
      </c>
      <c r="F14">
        <v>195967</v>
      </c>
      <c r="G14">
        <f t="shared" si="0"/>
        <v>243863</v>
      </c>
    </row>
    <row r="15" spans="1:33">
      <c r="A15">
        <v>1985</v>
      </c>
      <c r="B15" t="s">
        <v>298</v>
      </c>
      <c r="C15" t="s">
        <v>299</v>
      </c>
      <c r="D15">
        <v>49918</v>
      </c>
      <c r="E15">
        <v>283645</v>
      </c>
      <c r="F15">
        <v>417080</v>
      </c>
      <c r="G15">
        <f t="shared" si="0"/>
        <v>750643</v>
      </c>
    </row>
    <row r="16" spans="1:33">
      <c r="A16">
        <v>1985</v>
      </c>
      <c r="B16" t="s">
        <v>298</v>
      </c>
      <c r="C16" t="s">
        <v>299</v>
      </c>
      <c r="D16" t="s">
        <v>16</v>
      </c>
      <c r="E16">
        <v>25287</v>
      </c>
      <c r="F16" t="s">
        <v>16</v>
      </c>
      <c r="G16">
        <f t="shared" si="0"/>
        <v>25287</v>
      </c>
    </row>
    <row r="17" spans="1:7">
      <c r="A17">
        <v>1985</v>
      </c>
      <c r="B17" t="s">
        <v>298</v>
      </c>
      <c r="C17" t="s">
        <v>299</v>
      </c>
      <c r="D17">
        <v>11327</v>
      </c>
      <c r="E17">
        <v>12814</v>
      </c>
      <c r="F17">
        <v>89870</v>
      </c>
      <c r="G17">
        <f t="shared" si="0"/>
        <v>114011</v>
      </c>
    </row>
    <row r="18" spans="1:7">
      <c r="A18">
        <v>1985</v>
      </c>
      <c r="B18" t="s">
        <v>298</v>
      </c>
      <c r="C18" t="s">
        <v>299</v>
      </c>
      <c r="D18" t="s">
        <v>16</v>
      </c>
      <c r="E18">
        <v>20766</v>
      </c>
      <c r="F18">
        <v>300</v>
      </c>
      <c r="G18">
        <f t="shared" si="0"/>
        <v>21066</v>
      </c>
    </row>
    <row r="19" spans="1:7">
      <c r="A19">
        <v>1986</v>
      </c>
      <c r="B19" t="s">
        <v>298</v>
      </c>
      <c r="C19" t="s">
        <v>299</v>
      </c>
      <c r="D19">
        <v>49476</v>
      </c>
      <c r="E19">
        <v>281130</v>
      </c>
      <c r="F19">
        <v>413383</v>
      </c>
      <c r="G19">
        <f t="shared" si="0"/>
        <v>743989</v>
      </c>
    </row>
    <row r="20" spans="1:7">
      <c r="A20">
        <v>1986</v>
      </c>
      <c r="B20" t="s">
        <v>298</v>
      </c>
      <c r="C20" t="s">
        <v>299</v>
      </c>
      <c r="D20">
        <v>25</v>
      </c>
      <c r="E20">
        <v>23683</v>
      </c>
      <c r="F20">
        <v>300</v>
      </c>
      <c r="G20">
        <f t="shared" si="0"/>
        <v>24008</v>
      </c>
    </row>
    <row r="21" spans="1:7">
      <c r="A21">
        <v>1986</v>
      </c>
      <c r="B21" t="s">
        <v>298</v>
      </c>
      <c r="C21" t="s">
        <v>299</v>
      </c>
      <c r="D21">
        <v>97891</v>
      </c>
      <c r="E21">
        <v>77883</v>
      </c>
      <c r="F21">
        <v>638983</v>
      </c>
      <c r="G21">
        <f t="shared" si="0"/>
        <v>814757</v>
      </c>
    </row>
    <row r="22" spans="1:7">
      <c r="A22">
        <v>1986</v>
      </c>
      <c r="B22" t="s">
        <v>298</v>
      </c>
      <c r="C22" t="s">
        <v>299</v>
      </c>
      <c r="D22">
        <v>20528</v>
      </c>
      <c r="E22">
        <v>29114</v>
      </c>
      <c r="F22">
        <v>203112</v>
      </c>
      <c r="G22">
        <f t="shared" si="0"/>
        <v>252754</v>
      </c>
    </row>
    <row r="23" spans="1:7">
      <c r="A23">
        <v>1986</v>
      </c>
      <c r="B23" t="s">
        <v>298</v>
      </c>
      <c r="C23" t="s">
        <v>299</v>
      </c>
      <c r="D23">
        <v>300</v>
      </c>
      <c r="E23">
        <v>29198</v>
      </c>
      <c r="F23">
        <v>10684</v>
      </c>
      <c r="G23">
        <f t="shared" si="0"/>
        <v>40182</v>
      </c>
    </row>
    <row r="24" spans="1:7">
      <c r="A24">
        <v>1986</v>
      </c>
      <c r="B24" t="s">
        <v>298</v>
      </c>
      <c r="C24" t="s">
        <v>299</v>
      </c>
      <c r="D24">
        <v>12167</v>
      </c>
      <c r="E24">
        <v>13765</v>
      </c>
      <c r="F24">
        <v>96536</v>
      </c>
      <c r="G24">
        <f t="shared" si="0"/>
        <v>122468</v>
      </c>
    </row>
    <row r="25" spans="1:7">
      <c r="A25">
        <v>1987</v>
      </c>
      <c r="B25" t="s">
        <v>298</v>
      </c>
      <c r="C25" t="s">
        <v>299</v>
      </c>
      <c r="D25">
        <v>54786</v>
      </c>
      <c r="E25">
        <v>311306</v>
      </c>
      <c r="F25">
        <v>457755</v>
      </c>
      <c r="G25">
        <f t="shared" si="0"/>
        <v>823847</v>
      </c>
    </row>
    <row r="26" spans="1:7">
      <c r="A26">
        <v>1987</v>
      </c>
      <c r="B26" t="s">
        <v>298</v>
      </c>
      <c r="C26" t="s">
        <v>299</v>
      </c>
      <c r="D26">
        <v>77114</v>
      </c>
      <c r="E26">
        <v>107554</v>
      </c>
      <c r="F26">
        <v>925817</v>
      </c>
      <c r="G26">
        <f t="shared" si="0"/>
        <v>1110485</v>
      </c>
    </row>
    <row r="27" spans="1:7">
      <c r="A27">
        <v>1987</v>
      </c>
      <c r="B27" t="s">
        <v>298</v>
      </c>
      <c r="C27" t="s">
        <v>299</v>
      </c>
      <c r="D27" t="s">
        <v>16</v>
      </c>
      <c r="E27">
        <v>21331</v>
      </c>
      <c r="F27" t="s">
        <v>16</v>
      </c>
      <c r="G27">
        <f t="shared" si="0"/>
        <v>21331</v>
      </c>
    </row>
    <row r="28" spans="1:7">
      <c r="A28">
        <v>1987</v>
      </c>
      <c r="B28" t="s">
        <v>298</v>
      </c>
      <c r="C28" t="s">
        <v>299</v>
      </c>
      <c r="D28">
        <v>7980</v>
      </c>
      <c r="E28">
        <v>12825</v>
      </c>
      <c r="F28" t="s">
        <v>16</v>
      </c>
      <c r="G28">
        <f t="shared" si="0"/>
        <v>20805</v>
      </c>
    </row>
    <row r="29" spans="1:7">
      <c r="A29">
        <v>1987</v>
      </c>
      <c r="B29" t="s">
        <v>298</v>
      </c>
      <c r="C29" t="s">
        <v>299</v>
      </c>
      <c r="D29">
        <v>11564</v>
      </c>
      <c r="E29">
        <v>13082</v>
      </c>
      <c r="F29">
        <v>91746</v>
      </c>
      <c r="G29">
        <f t="shared" si="0"/>
        <v>116392</v>
      </c>
    </row>
    <row r="30" spans="1:7">
      <c r="A30">
        <v>1988</v>
      </c>
      <c r="B30" t="s">
        <v>298</v>
      </c>
      <c r="C30" t="s">
        <v>299</v>
      </c>
      <c r="D30">
        <v>72342</v>
      </c>
      <c r="E30">
        <v>131365</v>
      </c>
      <c r="F30">
        <v>881599</v>
      </c>
      <c r="G30">
        <f t="shared" si="0"/>
        <v>1085306</v>
      </c>
    </row>
    <row r="31" spans="1:7">
      <c r="A31">
        <v>1988</v>
      </c>
      <c r="B31" t="s">
        <v>298</v>
      </c>
      <c r="C31" t="s">
        <v>299</v>
      </c>
      <c r="D31">
        <v>69288</v>
      </c>
      <c r="E31">
        <v>199678</v>
      </c>
      <c r="F31">
        <v>722496</v>
      </c>
      <c r="G31">
        <f t="shared" si="0"/>
        <v>991462</v>
      </c>
    </row>
    <row r="32" spans="1:7">
      <c r="A32">
        <v>1988</v>
      </c>
      <c r="B32" t="s">
        <v>298</v>
      </c>
      <c r="C32" t="s">
        <v>299</v>
      </c>
      <c r="D32" t="s">
        <v>16</v>
      </c>
      <c r="E32">
        <v>24866</v>
      </c>
      <c r="F32">
        <v>1150</v>
      </c>
      <c r="G32">
        <f t="shared" si="0"/>
        <v>26016</v>
      </c>
    </row>
    <row r="33" spans="1:7">
      <c r="A33">
        <v>1988</v>
      </c>
      <c r="B33" t="s">
        <v>298</v>
      </c>
      <c r="C33" t="s">
        <v>299</v>
      </c>
      <c r="D33">
        <v>7544</v>
      </c>
      <c r="E33">
        <v>8205</v>
      </c>
      <c r="F33" t="s">
        <v>16</v>
      </c>
      <c r="G33">
        <f t="shared" si="0"/>
        <v>15749</v>
      </c>
    </row>
    <row r="34" spans="1:7">
      <c r="A34">
        <v>1988</v>
      </c>
      <c r="B34" t="s">
        <v>298</v>
      </c>
      <c r="C34" t="s">
        <v>299</v>
      </c>
      <c r="D34">
        <v>11763</v>
      </c>
      <c r="E34">
        <v>13307</v>
      </c>
      <c r="F34">
        <v>93325</v>
      </c>
      <c r="G34">
        <f t="shared" si="0"/>
        <v>118395</v>
      </c>
    </row>
    <row r="35" spans="1:7">
      <c r="A35">
        <v>1989</v>
      </c>
      <c r="B35" t="s">
        <v>298</v>
      </c>
      <c r="C35" t="s">
        <v>299</v>
      </c>
      <c r="D35">
        <v>13018</v>
      </c>
      <c r="E35">
        <v>14920</v>
      </c>
      <c r="F35">
        <v>676</v>
      </c>
      <c r="G35">
        <f t="shared" si="0"/>
        <v>28614</v>
      </c>
    </row>
    <row r="36" spans="1:7">
      <c r="A36">
        <v>1989</v>
      </c>
      <c r="B36" t="s">
        <v>298</v>
      </c>
      <c r="C36" t="s">
        <v>299</v>
      </c>
      <c r="D36">
        <v>48806</v>
      </c>
      <c r="E36">
        <v>62331</v>
      </c>
      <c r="F36" t="s">
        <v>16</v>
      </c>
      <c r="G36">
        <f t="shared" si="0"/>
        <v>111137</v>
      </c>
    </row>
    <row r="37" spans="1:7">
      <c r="A37">
        <v>1989</v>
      </c>
      <c r="B37" t="s">
        <v>298</v>
      </c>
      <c r="C37" t="s">
        <v>299</v>
      </c>
      <c r="D37" t="s">
        <v>16</v>
      </c>
      <c r="E37">
        <v>23852</v>
      </c>
      <c r="F37">
        <v>0</v>
      </c>
      <c r="G37">
        <f t="shared" si="0"/>
        <v>23852</v>
      </c>
    </row>
    <row r="38" spans="1:7">
      <c r="A38">
        <v>1989</v>
      </c>
      <c r="B38" t="s">
        <v>298</v>
      </c>
      <c r="C38" t="s">
        <v>299</v>
      </c>
      <c r="D38">
        <v>6770</v>
      </c>
      <c r="E38">
        <v>9289</v>
      </c>
      <c r="F38" t="s">
        <v>16</v>
      </c>
      <c r="G38">
        <f t="shared" si="0"/>
        <v>16059</v>
      </c>
    </row>
    <row r="39" spans="1:7">
      <c r="A39">
        <v>1989</v>
      </c>
      <c r="B39" t="s">
        <v>298</v>
      </c>
      <c r="C39" t="s">
        <v>299</v>
      </c>
      <c r="D39">
        <v>7557</v>
      </c>
      <c r="E39">
        <v>10904</v>
      </c>
      <c r="F39">
        <v>29186</v>
      </c>
      <c r="G39">
        <f t="shared" si="0"/>
        <v>47647</v>
      </c>
    </row>
    <row r="40" spans="1:7">
      <c r="A40">
        <v>1989</v>
      </c>
      <c r="B40" t="s">
        <v>298</v>
      </c>
      <c r="C40" t="s">
        <v>299</v>
      </c>
      <c r="D40">
        <v>49505</v>
      </c>
      <c r="E40">
        <v>587916</v>
      </c>
      <c r="F40">
        <v>187971</v>
      </c>
      <c r="G40">
        <f t="shared" si="0"/>
        <v>825392</v>
      </c>
    </row>
    <row r="41" spans="1:7">
      <c r="A41">
        <v>1989</v>
      </c>
      <c r="B41" t="s">
        <v>298</v>
      </c>
      <c r="C41" t="s">
        <v>299</v>
      </c>
      <c r="D41">
        <v>12768</v>
      </c>
      <c r="E41">
        <v>14690</v>
      </c>
      <c r="F41">
        <v>93219</v>
      </c>
      <c r="G41">
        <f t="shared" si="0"/>
        <v>120677</v>
      </c>
    </row>
    <row r="42" spans="1:7">
      <c r="A42">
        <v>1990</v>
      </c>
      <c r="B42" t="s">
        <v>298</v>
      </c>
      <c r="C42" t="s">
        <v>299</v>
      </c>
      <c r="D42">
        <v>14361</v>
      </c>
      <c r="E42">
        <v>14299</v>
      </c>
      <c r="F42" t="s">
        <v>16</v>
      </c>
      <c r="G42">
        <f t="shared" si="0"/>
        <v>28660</v>
      </c>
    </row>
    <row r="43" spans="1:7">
      <c r="A43">
        <v>1990</v>
      </c>
      <c r="B43" t="s">
        <v>298</v>
      </c>
      <c r="C43" t="s">
        <v>299</v>
      </c>
      <c r="D43">
        <v>5348</v>
      </c>
      <c r="E43">
        <v>11783</v>
      </c>
      <c r="F43">
        <v>72838</v>
      </c>
      <c r="G43">
        <f t="shared" si="0"/>
        <v>89969</v>
      </c>
    </row>
    <row r="44" spans="1:7">
      <c r="A44">
        <v>1990</v>
      </c>
      <c r="B44" t="s">
        <v>298</v>
      </c>
      <c r="C44" t="s">
        <v>299</v>
      </c>
      <c r="D44">
        <v>5563</v>
      </c>
      <c r="E44">
        <v>8085</v>
      </c>
      <c r="F44">
        <v>300</v>
      </c>
      <c r="G44">
        <f t="shared" si="0"/>
        <v>13948</v>
      </c>
    </row>
    <row r="45" spans="1:7">
      <c r="A45">
        <v>1990</v>
      </c>
      <c r="B45" t="s">
        <v>298</v>
      </c>
      <c r="C45" t="s">
        <v>299</v>
      </c>
      <c r="D45">
        <v>55589</v>
      </c>
      <c r="E45">
        <v>203280</v>
      </c>
      <c r="F45">
        <v>546546</v>
      </c>
      <c r="G45">
        <f t="shared" si="0"/>
        <v>805415</v>
      </c>
    </row>
    <row r="46" spans="1:7">
      <c r="A46">
        <v>1990</v>
      </c>
      <c r="B46" t="s">
        <v>298</v>
      </c>
      <c r="C46" t="s">
        <v>299</v>
      </c>
      <c r="D46">
        <v>15331</v>
      </c>
      <c r="E46">
        <v>7412</v>
      </c>
      <c r="F46">
        <v>4919</v>
      </c>
      <c r="G46">
        <f t="shared" si="0"/>
        <v>27662</v>
      </c>
    </row>
    <row r="47" spans="1:7">
      <c r="A47">
        <v>1990</v>
      </c>
      <c r="B47" t="s">
        <v>298</v>
      </c>
      <c r="C47" t="s">
        <v>299</v>
      </c>
      <c r="D47">
        <v>12525</v>
      </c>
      <c r="E47">
        <v>13044</v>
      </c>
      <c r="F47">
        <v>107857</v>
      </c>
      <c r="G47">
        <f t="shared" si="0"/>
        <v>133426</v>
      </c>
    </row>
    <row r="48" spans="1:7">
      <c r="A48">
        <v>1991</v>
      </c>
      <c r="B48" t="s">
        <v>298</v>
      </c>
      <c r="C48" t="s">
        <v>299</v>
      </c>
      <c r="D48">
        <v>14361</v>
      </c>
      <c r="E48">
        <v>14299</v>
      </c>
      <c r="F48" t="s">
        <v>16</v>
      </c>
      <c r="G48">
        <f t="shared" si="0"/>
        <v>28660</v>
      </c>
    </row>
    <row r="49" spans="1:15">
      <c r="A49">
        <v>1991</v>
      </c>
      <c r="B49" t="s">
        <v>298</v>
      </c>
      <c r="C49" t="s">
        <v>299</v>
      </c>
      <c r="D49">
        <v>80675</v>
      </c>
      <c r="E49">
        <v>184638</v>
      </c>
      <c r="F49">
        <v>993193</v>
      </c>
      <c r="G49">
        <f t="shared" si="0"/>
        <v>1258506</v>
      </c>
    </row>
    <row r="50" spans="1:15">
      <c r="A50">
        <v>1991</v>
      </c>
      <c r="B50" t="s">
        <v>298</v>
      </c>
      <c r="C50" t="s">
        <v>299</v>
      </c>
      <c r="D50">
        <v>3383</v>
      </c>
      <c r="E50">
        <v>8318</v>
      </c>
      <c r="F50">
        <v>21558</v>
      </c>
      <c r="G50">
        <f t="shared" si="0"/>
        <v>33259</v>
      </c>
    </row>
    <row r="51" spans="1:15">
      <c r="A51">
        <v>1991</v>
      </c>
      <c r="B51" t="s">
        <v>298</v>
      </c>
      <c r="C51" t="s">
        <v>299</v>
      </c>
      <c r="D51">
        <v>53560</v>
      </c>
      <c r="E51">
        <v>304341</v>
      </c>
      <c r="F51">
        <v>447513</v>
      </c>
      <c r="G51">
        <f t="shared" si="0"/>
        <v>805414</v>
      </c>
      <c r="K51" t="s">
        <v>305</v>
      </c>
      <c r="L51" t="s">
        <v>306</v>
      </c>
    </row>
    <row r="52" spans="1:15">
      <c r="A52">
        <v>1991</v>
      </c>
      <c r="B52" t="s">
        <v>298</v>
      </c>
      <c r="C52" t="s">
        <v>299</v>
      </c>
      <c r="D52">
        <v>15331</v>
      </c>
      <c r="E52">
        <v>7412</v>
      </c>
      <c r="F52">
        <v>4919</v>
      </c>
      <c r="G52">
        <f t="shared" si="0"/>
        <v>27662</v>
      </c>
      <c r="L52" t="s">
        <v>298</v>
      </c>
      <c r="N52" t="s">
        <v>307</v>
      </c>
      <c r="O52" t="s">
        <v>308</v>
      </c>
    </row>
    <row r="53" spans="1:15">
      <c r="A53">
        <v>1991</v>
      </c>
      <c r="B53" t="s">
        <v>298</v>
      </c>
      <c r="C53" t="s">
        <v>299</v>
      </c>
      <c r="D53">
        <v>11900</v>
      </c>
      <c r="E53">
        <v>14341</v>
      </c>
      <c r="F53">
        <v>94012</v>
      </c>
      <c r="G53">
        <f t="shared" si="0"/>
        <v>120253</v>
      </c>
      <c r="K53" t="s">
        <v>309</v>
      </c>
      <c r="L53" t="s">
        <v>299</v>
      </c>
      <c r="M53" t="s">
        <v>301</v>
      </c>
    </row>
    <row r="54" spans="1:15">
      <c r="A54">
        <v>1983</v>
      </c>
      <c r="B54" t="s">
        <v>298</v>
      </c>
      <c r="C54" t="s">
        <v>301</v>
      </c>
      <c r="D54">
        <v>626</v>
      </c>
      <c r="E54">
        <v>30702</v>
      </c>
      <c r="F54" t="s">
        <v>16</v>
      </c>
      <c r="G54">
        <f t="shared" si="0"/>
        <v>31328</v>
      </c>
      <c r="K54" s="3">
        <v>1983</v>
      </c>
      <c r="L54" s="14">
        <v>0.90300571865943502</v>
      </c>
      <c r="M54" s="14">
        <v>9.6994281340564897E-2</v>
      </c>
      <c r="N54" s="14">
        <v>1</v>
      </c>
      <c r="O54" s="14">
        <v>1</v>
      </c>
    </row>
    <row r="55" spans="1:15">
      <c r="A55">
        <v>1983</v>
      </c>
      <c r="B55" t="s">
        <v>298</v>
      </c>
      <c r="C55" t="s">
        <v>301</v>
      </c>
      <c r="D55">
        <v>9026</v>
      </c>
      <c r="E55">
        <v>8987</v>
      </c>
      <c r="F55" t="s">
        <v>16</v>
      </c>
      <c r="G55">
        <f t="shared" si="0"/>
        <v>18013</v>
      </c>
      <c r="K55" s="3">
        <v>1984</v>
      </c>
      <c r="L55" s="14">
        <v>0.45224061549253902</v>
      </c>
      <c r="M55" s="14">
        <v>0.54775938450746098</v>
      </c>
      <c r="N55" s="14">
        <v>1</v>
      </c>
      <c r="O55" s="14">
        <v>1</v>
      </c>
    </row>
    <row r="56" spans="1:15">
      <c r="A56">
        <v>1983</v>
      </c>
      <c r="B56" t="s">
        <v>298</v>
      </c>
      <c r="C56" t="s">
        <v>301</v>
      </c>
      <c r="D56">
        <v>14149</v>
      </c>
      <c r="E56">
        <v>6841</v>
      </c>
      <c r="F56" t="s">
        <v>16</v>
      </c>
      <c r="G56">
        <f t="shared" si="0"/>
        <v>20990</v>
      </c>
      <c r="K56" s="3">
        <v>1985</v>
      </c>
      <c r="L56" s="14">
        <v>0.48792118837707699</v>
      </c>
      <c r="M56" s="14">
        <v>0.51207881162292301</v>
      </c>
      <c r="N56" s="14">
        <v>1</v>
      </c>
      <c r="O56" s="14">
        <v>1</v>
      </c>
    </row>
    <row r="57" spans="1:15">
      <c r="A57">
        <v>1983</v>
      </c>
      <c r="B57" t="s">
        <v>298</v>
      </c>
      <c r="C57" t="s">
        <v>301</v>
      </c>
      <c r="D57">
        <v>12946</v>
      </c>
      <c r="E57">
        <v>36776</v>
      </c>
      <c r="F57">
        <v>117491</v>
      </c>
      <c r="G57">
        <f t="shared" si="0"/>
        <v>167213</v>
      </c>
      <c r="K57" s="3">
        <v>1986</v>
      </c>
      <c r="L57" s="14">
        <v>0.54251201210699795</v>
      </c>
      <c r="M57" s="14">
        <v>0.45748798789300199</v>
      </c>
      <c r="N57" s="14">
        <v>1</v>
      </c>
      <c r="O57" s="14">
        <v>1</v>
      </c>
    </row>
    <row r="58" spans="1:15">
      <c r="A58">
        <v>1983</v>
      </c>
      <c r="B58" t="s">
        <v>298</v>
      </c>
      <c r="C58" t="s">
        <v>301</v>
      </c>
      <c r="D58">
        <v>650</v>
      </c>
      <c r="E58">
        <v>45920</v>
      </c>
      <c r="F58" t="s">
        <v>16</v>
      </c>
      <c r="G58">
        <f t="shared" si="0"/>
        <v>46570</v>
      </c>
      <c r="K58" s="3">
        <v>1987</v>
      </c>
      <c r="L58" s="14">
        <v>0.51130054683257098</v>
      </c>
      <c r="M58" s="14">
        <v>0.48869945316742902</v>
      </c>
      <c r="N58" s="14">
        <v>1</v>
      </c>
      <c r="O58" s="14">
        <v>1</v>
      </c>
    </row>
    <row r="59" spans="1:15">
      <c r="A59">
        <v>1984</v>
      </c>
      <c r="B59" t="s">
        <v>298</v>
      </c>
      <c r="C59" t="s">
        <v>301</v>
      </c>
      <c r="D59">
        <v>0</v>
      </c>
      <c r="E59">
        <v>139020</v>
      </c>
      <c r="F59" t="s">
        <v>16</v>
      </c>
      <c r="G59">
        <f t="shared" si="0"/>
        <v>139020</v>
      </c>
      <c r="K59" s="3">
        <v>1988</v>
      </c>
      <c r="L59" s="14">
        <v>0.53603521028377199</v>
      </c>
      <c r="M59" s="14">
        <v>0.46396478971622801</v>
      </c>
      <c r="N59" s="14">
        <v>1</v>
      </c>
      <c r="O59" s="14">
        <v>1</v>
      </c>
    </row>
    <row r="60" spans="1:15">
      <c r="A60">
        <v>1984</v>
      </c>
      <c r="B60" t="s">
        <v>298</v>
      </c>
      <c r="C60" t="s">
        <v>301</v>
      </c>
      <c r="D60">
        <v>9026</v>
      </c>
      <c r="E60">
        <v>8987</v>
      </c>
      <c r="F60" t="s">
        <v>16</v>
      </c>
      <c r="G60">
        <f t="shared" si="0"/>
        <v>18013</v>
      </c>
      <c r="K60" s="3">
        <v>1989</v>
      </c>
      <c r="L60" s="14">
        <v>0.32359585886609699</v>
      </c>
      <c r="M60" s="14">
        <v>0.67640414113390301</v>
      </c>
      <c r="N60" s="14">
        <v>1</v>
      </c>
      <c r="O60" s="14">
        <v>1</v>
      </c>
    </row>
    <row r="61" spans="1:15">
      <c r="A61">
        <v>1984</v>
      </c>
      <c r="B61" t="s">
        <v>298</v>
      </c>
      <c r="C61" t="s">
        <v>301</v>
      </c>
      <c r="D61">
        <v>78447</v>
      </c>
      <c r="E61">
        <v>44630</v>
      </c>
      <c r="F61" t="s">
        <v>16</v>
      </c>
      <c r="G61">
        <f t="shared" si="0"/>
        <v>123077</v>
      </c>
      <c r="K61" s="3">
        <v>1990</v>
      </c>
      <c r="L61" s="14">
        <v>0.29034344151603703</v>
      </c>
      <c r="M61" s="14">
        <v>0.70965655848396303</v>
      </c>
      <c r="N61" s="14">
        <v>1</v>
      </c>
      <c r="O61" s="14">
        <v>1</v>
      </c>
    </row>
    <row r="62" spans="1:15">
      <c r="A62">
        <v>1984</v>
      </c>
      <c r="B62" t="s">
        <v>298</v>
      </c>
      <c r="C62" t="s">
        <v>301</v>
      </c>
      <c r="D62" t="s">
        <v>16</v>
      </c>
      <c r="E62">
        <v>192879</v>
      </c>
      <c r="F62">
        <v>1010377</v>
      </c>
      <c r="G62">
        <f t="shared" si="0"/>
        <v>1203256</v>
      </c>
      <c r="K62" s="3">
        <v>1991</v>
      </c>
      <c r="L62" s="14">
        <v>0.45904322135423897</v>
      </c>
      <c r="M62" s="14">
        <v>0.54095677864576097</v>
      </c>
      <c r="N62" s="14">
        <v>1</v>
      </c>
      <c r="O62" s="14">
        <v>1</v>
      </c>
    </row>
    <row r="63" spans="1:15">
      <c r="A63">
        <v>1984</v>
      </c>
      <c r="B63" t="s">
        <v>298</v>
      </c>
      <c r="C63" t="s">
        <v>301</v>
      </c>
      <c r="D63">
        <v>14216</v>
      </c>
      <c r="E63">
        <v>8895</v>
      </c>
      <c r="F63" t="s">
        <v>16</v>
      </c>
      <c r="G63">
        <f t="shared" si="0"/>
        <v>23111</v>
      </c>
      <c r="K63" s="3" t="s">
        <v>308</v>
      </c>
      <c r="L63" s="14">
        <v>0.49130740566555298</v>
      </c>
      <c r="M63" s="14">
        <v>0.50869259433444702</v>
      </c>
      <c r="N63" s="14">
        <v>1</v>
      </c>
      <c r="O63" s="14">
        <v>1</v>
      </c>
    </row>
    <row r="64" spans="1:15">
      <c r="A64">
        <v>1984</v>
      </c>
      <c r="B64" t="s">
        <v>298</v>
      </c>
      <c r="C64" t="s">
        <v>301</v>
      </c>
      <c r="D64">
        <v>17953</v>
      </c>
      <c r="E64">
        <v>33432</v>
      </c>
      <c r="F64">
        <v>115828</v>
      </c>
      <c r="G64">
        <f t="shared" si="0"/>
        <v>167213</v>
      </c>
    </row>
    <row r="65" spans="1:7">
      <c r="A65">
        <v>1984</v>
      </c>
      <c r="B65" t="s">
        <v>298</v>
      </c>
      <c r="C65" t="s">
        <v>301</v>
      </c>
      <c r="D65">
        <v>35941</v>
      </c>
      <c r="E65">
        <v>14457</v>
      </c>
      <c r="F65" t="s">
        <v>16</v>
      </c>
      <c r="G65">
        <f t="shared" si="0"/>
        <v>50398</v>
      </c>
    </row>
    <row r="66" spans="1:7">
      <c r="A66">
        <v>1985</v>
      </c>
      <c r="B66" t="s">
        <v>298</v>
      </c>
      <c r="C66" t="s">
        <v>301</v>
      </c>
      <c r="D66">
        <v>17350</v>
      </c>
      <c r="E66">
        <v>116320</v>
      </c>
      <c r="F66" t="s">
        <v>16</v>
      </c>
      <c r="G66">
        <f t="shared" si="0"/>
        <v>133670</v>
      </c>
    </row>
    <row r="67" spans="1:7">
      <c r="A67">
        <v>1985</v>
      </c>
      <c r="B67" t="s">
        <v>298</v>
      </c>
      <c r="C67" t="s">
        <v>301</v>
      </c>
      <c r="D67">
        <v>9170</v>
      </c>
      <c r="E67">
        <v>9131</v>
      </c>
      <c r="F67" t="s">
        <v>16</v>
      </c>
      <c r="G67">
        <f t="shared" ref="G67:G130" si="7">SUM(D67:F67)</f>
        <v>18301</v>
      </c>
    </row>
    <row r="68" spans="1:7">
      <c r="A68">
        <v>1985</v>
      </c>
      <c r="B68" t="s">
        <v>298</v>
      </c>
      <c r="C68" t="s">
        <v>301</v>
      </c>
      <c r="D68">
        <v>70812</v>
      </c>
      <c r="E68">
        <v>51959</v>
      </c>
      <c r="F68" t="s">
        <v>16</v>
      </c>
      <c r="G68">
        <f t="shared" si="7"/>
        <v>122771</v>
      </c>
    </row>
    <row r="69" spans="1:7">
      <c r="A69">
        <v>1985</v>
      </c>
      <c r="B69" t="s">
        <v>298</v>
      </c>
      <c r="C69" t="s">
        <v>301</v>
      </c>
      <c r="D69" t="s">
        <v>16</v>
      </c>
      <c r="E69">
        <v>193422</v>
      </c>
      <c r="F69">
        <v>1013224</v>
      </c>
      <c r="G69">
        <f t="shared" si="7"/>
        <v>1206646</v>
      </c>
    </row>
    <row r="70" spans="1:7">
      <c r="A70">
        <v>1985</v>
      </c>
      <c r="B70" t="s">
        <v>298</v>
      </c>
      <c r="C70" t="s">
        <v>301</v>
      </c>
      <c r="D70">
        <v>34164</v>
      </c>
      <c r="E70">
        <v>17264</v>
      </c>
      <c r="F70" t="s">
        <v>16</v>
      </c>
      <c r="G70">
        <f t="shared" si="7"/>
        <v>51428</v>
      </c>
    </row>
    <row r="71" spans="1:7">
      <c r="A71">
        <v>1985</v>
      </c>
      <c r="B71" t="s">
        <v>298</v>
      </c>
      <c r="C71" t="s">
        <v>301</v>
      </c>
      <c r="D71">
        <v>16543</v>
      </c>
      <c r="E71">
        <v>3686</v>
      </c>
      <c r="F71" t="s">
        <v>16</v>
      </c>
      <c r="G71">
        <f t="shared" si="7"/>
        <v>20229</v>
      </c>
    </row>
    <row r="72" spans="1:7">
      <c r="A72">
        <v>1985</v>
      </c>
      <c r="B72" t="s">
        <v>298</v>
      </c>
      <c r="C72" t="s">
        <v>301</v>
      </c>
      <c r="D72">
        <v>14962</v>
      </c>
      <c r="E72">
        <v>36288</v>
      </c>
      <c r="F72">
        <v>116192</v>
      </c>
      <c r="G72">
        <f t="shared" si="7"/>
        <v>167442</v>
      </c>
    </row>
    <row r="73" spans="1:7">
      <c r="A73">
        <v>1986</v>
      </c>
      <c r="B73" t="s">
        <v>298</v>
      </c>
      <c r="C73" t="s">
        <v>301</v>
      </c>
      <c r="D73">
        <v>21714</v>
      </c>
      <c r="E73">
        <v>117825</v>
      </c>
      <c r="F73" t="s">
        <v>16</v>
      </c>
      <c r="G73">
        <f t="shared" si="7"/>
        <v>139539</v>
      </c>
    </row>
    <row r="74" spans="1:7">
      <c r="A74">
        <v>1986</v>
      </c>
      <c r="B74" t="s">
        <v>298</v>
      </c>
      <c r="C74" t="s">
        <v>301</v>
      </c>
      <c r="D74">
        <v>65061</v>
      </c>
      <c r="E74">
        <v>52448</v>
      </c>
      <c r="F74" t="s">
        <v>16</v>
      </c>
      <c r="G74">
        <f t="shared" si="7"/>
        <v>117509</v>
      </c>
    </row>
    <row r="75" spans="1:7">
      <c r="A75">
        <v>1986</v>
      </c>
      <c r="B75" t="s">
        <v>298</v>
      </c>
      <c r="C75" t="s">
        <v>301</v>
      </c>
      <c r="D75">
        <v>14040</v>
      </c>
      <c r="E75">
        <v>35981</v>
      </c>
      <c r="F75">
        <v>106268</v>
      </c>
      <c r="G75">
        <f t="shared" si="7"/>
        <v>156289</v>
      </c>
    </row>
    <row r="76" spans="1:7">
      <c r="A76">
        <v>1986</v>
      </c>
      <c r="B76" t="s">
        <v>298</v>
      </c>
      <c r="C76" t="s">
        <v>301</v>
      </c>
      <c r="D76" t="s">
        <v>16</v>
      </c>
      <c r="E76">
        <v>187771</v>
      </c>
      <c r="F76">
        <v>983621</v>
      </c>
      <c r="G76">
        <f t="shared" si="7"/>
        <v>1171392</v>
      </c>
    </row>
    <row r="77" spans="1:7">
      <c r="A77">
        <v>1986</v>
      </c>
      <c r="B77" t="s">
        <v>298</v>
      </c>
      <c r="C77" t="s">
        <v>301</v>
      </c>
      <c r="D77">
        <v>21502</v>
      </c>
      <c r="E77">
        <v>3813</v>
      </c>
      <c r="F77" t="s">
        <v>16</v>
      </c>
      <c r="G77">
        <f t="shared" si="7"/>
        <v>25315</v>
      </c>
    </row>
    <row r="78" spans="1:7">
      <c r="A78">
        <v>1986</v>
      </c>
      <c r="B78" t="s">
        <v>298</v>
      </c>
      <c r="C78" t="s">
        <v>301</v>
      </c>
      <c r="D78">
        <v>9644</v>
      </c>
      <c r="E78">
        <v>9602</v>
      </c>
      <c r="F78" t="s">
        <v>16</v>
      </c>
      <c r="G78">
        <f t="shared" si="7"/>
        <v>19246</v>
      </c>
    </row>
    <row r="79" spans="1:7">
      <c r="A79">
        <v>1986</v>
      </c>
      <c r="B79" t="s">
        <v>298</v>
      </c>
      <c r="C79" t="s">
        <v>301</v>
      </c>
      <c r="D79">
        <v>34351</v>
      </c>
      <c r="E79">
        <v>21360</v>
      </c>
      <c r="F79" t="s">
        <v>16</v>
      </c>
      <c r="G79">
        <f t="shared" si="7"/>
        <v>55711</v>
      </c>
    </row>
    <row r="80" spans="1:7">
      <c r="A80">
        <v>1987</v>
      </c>
      <c r="B80" t="s">
        <v>298</v>
      </c>
      <c r="C80" t="s">
        <v>301</v>
      </c>
      <c r="D80">
        <v>60178</v>
      </c>
      <c r="E80">
        <v>55880</v>
      </c>
      <c r="F80" t="s">
        <v>16</v>
      </c>
      <c r="G80">
        <f t="shared" si="7"/>
        <v>116058</v>
      </c>
    </row>
    <row r="81" spans="1:7">
      <c r="A81">
        <v>1987</v>
      </c>
      <c r="B81" t="s">
        <v>298</v>
      </c>
      <c r="C81" t="s">
        <v>301</v>
      </c>
      <c r="D81">
        <v>12622</v>
      </c>
      <c r="E81">
        <v>32710</v>
      </c>
      <c r="F81">
        <v>104372</v>
      </c>
      <c r="G81">
        <f t="shared" si="7"/>
        <v>149704</v>
      </c>
    </row>
    <row r="82" spans="1:7">
      <c r="A82">
        <v>1987</v>
      </c>
      <c r="B82" t="s">
        <v>298</v>
      </c>
      <c r="C82" t="s">
        <v>301</v>
      </c>
      <c r="D82">
        <v>33988</v>
      </c>
      <c r="E82">
        <v>186410</v>
      </c>
      <c r="F82">
        <v>976490</v>
      </c>
      <c r="G82">
        <f t="shared" si="7"/>
        <v>1196888</v>
      </c>
    </row>
    <row r="83" spans="1:7">
      <c r="A83">
        <v>1987</v>
      </c>
      <c r="B83" t="s">
        <v>298</v>
      </c>
      <c r="C83" t="s">
        <v>301</v>
      </c>
      <c r="D83">
        <v>20819</v>
      </c>
      <c r="E83">
        <v>112967</v>
      </c>
      <c r="F83" t="s">
        <v>16</v>
      </c>
      <c r="G83">
        <f t="shared" si="7"/>
        <v>133786</v>
      </c>
    </row>
    <row r="84" spans="1:7">
      <c r="A84">
        <v>1987</v>
      </c>
      <c r="B84" t="s">
        <v>298</v>
      </c>
      <c r="C84" t="s">
        <v>301</v>
      </c>
      <c r="D84">
        <v>17853</v>
      </c>
      <c r="E84">
        <v>6766</v>
      </c>
      <c r="F84" t="s">
        <v>16</v>
      </c>
      <c r="G84">
        <f t="shared" si="7"/>
        <v>24619</v>
      </c>
    </row>
    <row r="85" spans="1:7">
      <c r="A85">
        <v>1987</v>
      </c>
      <c r="B85" t="s">
        <v>298</v>
      </c>
      <c r="C85" t="s">
        <v>301</v>
      </c>
      <c r="D85">
        <v>9174</v>
      </c>
      <c r="E85">
        <v>9134</v>
      </c>
      <c r="F85" t="s">
        <v>16</v>
      </c>
      <c r="G85">
        <f t="shared" si="7"/>
        <v>18308</v>
      </c>
    </row>
    <row r="86" spans="1:7">
      <c r="A86">
        <v>1987</v>
      </c>
      <c r="B86" t="s">
        <v>298</v>
      </c>
      <c r="C86" t="s">
        <v>301</v>
      </c>
      <c r="D86">
        <v>19563</v>
      </c>
      <c r="E86">
        <v>28044</v>
      </c>
      <c r="F86">
        <v>199242</v>
      </c>
      <c r="G86">
        <f t="shared" si="7"/>
        <v>246849</v>
      </c>
    </row>
    <row r="87" spans="1:7">
      <c r="A87">
        <v>1987</v>
      </c>
      <c r="B87" t="s">
        <v>298</v>
      </c>
      <c r="C87" t="s">
        <v>301</v>
      </c>
      <c r="D87">
        <v>10308</v>
      </c>
      <c r="E87">
        <v>9537</v>
      </c>
      <c r="F87">
        <v>94292</v>
      </c>
      <c r="G87">
        <f t="shared" si="7"/>
        <v>114137</v>
      </c>
    </row>
    <row r="88" spans="1:7">
      <c r="A88">
        <v>1988</v>
      </c>
      <c r="B88" t="s">
        <v>298</v>
      </c>
      <c r="C88" t="s">
        <v>301</v>
      </c>
      <c r="D88">
        <v>63951</v>
      </c>
      <c r="E88">
        <v>63815</v>
      </c>
      <c r="F88" t="s">
        <v>16</v>
      </c>
      <c r="G88">
        <f t="shared" si="7"/>
        <v>127766</v>
      </c>
    </row>
    <row r="89" spans="1:7">
      <c r="A89">
        <v>1988</v>
      </c>
      <c r="B89" t="s">
        <v>298</v>
      </c>
      <c r="C89" t="s">
        <v>301</v>
      </c>
      <c r="D89">
        <v>58173</v>
      </c>
      <c r="E89">
        <v>134692</v>
      </c>
      <c r="F89">
        <v>905805</v>
      </c>
      <c r="G89">
        <f t="shared" si="7"/>
        <v>1098670</v>
      </c>
    </row>
    <row r="90" spans="1:7">
      <c r="A90">
        <v>1988</v>
      </c>
      <c r="B90" t="s">
        <v>298</v>
      </c>
      <c r="C90" t="s">
        <v>301</v>
      </c>
      <c r="D90">
        <v>60128</v>
      </c>
      <c r="E90">
        <v>95365</v>
      </c>
      <c r="F90" t="s">
        <v>16</v>
      </c>
      <c r="G90">
        <f t="shared" si="7"/>
        <v>155493</v>
      </c>
    </row>
    <row r="91" spans="1:7">
      <c r="A91">
        <v>1988</v>
      </c>
      <c r="B91" t="s">
        <v>298</v>
      </c>
      <c r="C91" t="s">
        <v>301</v>
      </c>
      <c r="D91">
        <v>7203</v>
      </c>
      <c r="E91">
        <v>11354</v>
      </c>
      <c r="F91">
        <v>93857</v>
      </c>
      <c r="G91">
        <f t="shared" si="7"/>
        <v>112414</v>
      </c>
    </row>
    <row r="92" spans="1:7">
      <c r="A92">
        <v>1988</v>
      </c>
      <c r="B92" t="s">
        <v>298</v>
      </c>
      <c r="C92" t="s">
        <v>301</v>
      </c>
      <c r="D92">
        <v>13287</v>
      </c>
      <c r="E92">
        <v>9911</v>
      </c>
      <c r="F92" t="s">
        <v>16</v>
      </c>
      <c r="G92">
        <f t="shared" si="7"/>
        <v>23198</v>
      </c>
    </row>
    <row r="93" spans="1:7">
      <c r="A93">
        <v>1988</v>
      </c>
      <c r="B93" t="s">
        <v>298</v>
      </c>
      <c r="C93" t="s">
        <v>301</v>
      </c>
      <c r="D93">
        <v>15926</v>
      </c>
      <c r="E93">
        <v>13900</v>
      </c>
      <c r="F93" t="s">
        <v>16</v>
      </c>
      <c r="G93">
        <f t="shared" si="7"/>
        <v>29826</v>
      </c>
    </row>
    <row r="94" spans="1:7">
      <c r="A94">
        <v>1988</v>
      </c>
      <c r="B94" t="s">
        <v>298</v>
      </c>
      <c r="C94" t="s">
        <v>301</v>
      </c>
      <c r="D94">
        <v>21309</v>
      </c>
      <c r="E94">
        <v>29362</v>
      </c>
      <c r="F94">
        <v>201689</v>
      </c>
      <c r="G94">
        <f t="shared" si="7"/>
        <v>252360</v>
      </c>
    </row>
    <row r="95" spans="1:7">
      <c r="A95">
        <v>1988</v>
      </c>
      <c r="B95" t="s">
        <v>298</v>
      </c>
      <c r="C95" t="s">
        <v>301</v>
      </c>
      <c r="D95">
        <v>11235</v>
      </c>
      <c r="E95">
        <v>30351</v>
      </c>
      <c r="F95">
        <v>94858</v>
      </c>
      <c r="G95">
        <f t="shared" si="7"/>
        <v>136444</v>
      </c>
    </row>
    <row r="96" spans="1:7">
      <c r="A96">
        <v>1989</v>
      </c>
      <c r="B96" t="s">
        <v>298</v>
      </c>
      <c r="C96" t="s">
        <v>301</v>
      </c>
      <c r="D96">
        <v>74811</v>
      </c>
      <c r="E96">
        <v>147975</v>
      </c>
      <c r="F96">
        <v>349029</v>
      </c>
      <c r="G96">
        <f t="shared" si="7"/>
        <v>571815</v>
      </c>
    </row>
    <row r="97" spans="1:7">
      <c r="A97">
        <v>1989</v>
      </c>
      <c r="B97" t="s">
        <v>298</v>
      </c>
      <c r="C97" t="s">
        <v>301</v>
      </c>
      <c r="D97">
        <v>30950</v>
      </c>
      <c r="E97">
        <v>184259</v>
      </c>
      <c r="F97">
        <v>1009612</v>
      </c>
      <c r="G97">
        <f t="shared" si="7"/>
        <v>1224821</v>
      </c>
    </row>
    <row r="98" spans="1:7">
      <c r="A98">
        <v>1989</v>
      </c>
      <c r="B98" t="s">
        <v>298</v>
      </c>
      <c r="C98" t="s">
        <v>301</v>
      </c>
      <c r="D98">
        <v>23186</v>
      </c>
      <c r="E98">
        <v>125811</v>
      </c>
      <c r="F98" t="s">
        <v>16</v>
      </c>
      <c r="G98">
        <f t="shared" si="7"/>
        <v>148997</v>
      </c>
    </row>
    <row r="99" spans="1:7">
      <c r="A99">
        <v>1989</v>
      </c>
      <c r="B99" t="s">
        <v>298</v>
      </c>
      <c r="C99" t="s">
        <v>301</v>
      </c>
      <c r="D99">
        <v>22293</v>
      </c>
      <c r="E99">
        <v>24990</v>
      </c>
      <c r="F99">
        <v>212732</v>
      </c>
      <c r="G99">
        <f t="shared" si="7"/>
        <v>260015</v>
      </c>
    </row>
    <row r="100" spans="1:7">
      <c r="A100">
        <v>1989</v>
      </c>
      <c r="B100" t="s">
        <v>298</v>
      </c>
      <c r="C100" t="s">
        <v>301</v>
      </c>
      <c r="D100">
        <v>7573</v>
      </c>
      <c r="E100">
        <v>31585</v>
      </c>
      <c r="F100">
        <v>92489</v>
      </c>
      <c r="G100">
        <f t="shared" si="7"/>
        <v>131647</v>
      </c>
    </row>
    <row r="101" spans="1:7">
      <c r="A101">
        <v>1989</v>
      </c>
      <c r="B101" t="s">
        <v>298</v>
      </c>
      <c r="C101" t="s">
        <v>301</v>
      </c>
      <c r="D101">
        <v>6053</v>
      </c>
      <c r="E101">
        <v>13407</v>
      </c>
      <c r="F101">
        <v>95927</v>
      </c>
      <c r="G101">
        <f t="shared" si="7"/>
        <v>115387</v>
      </c>
    </row>
    <row r="102" spans="1:7">
      <c r="A102">
        <v>1990</v>
      </c>
      <c r="B102" t="s">
        <v>298</v>
      </c>
      <c r="C102" t="s">
        <v>301</v>
      </c>
      <c r="D102">
        <v>57705</v>
      </c>
      <c r="E102">
        <v>138112</v>
      </c>
      <c r="F102">
        <v>45292</v>
      </c>
      <c r="G102">
        <f t="shared" si="7"/>
        <v>241109</v>
      </c>
    </row>
    <row r="103" spans="1:7">
      <c r="A103">
        <v>1990</v>
      </c>
      <c r="B103" t="s">
        <v>298</v>
      </c>
      <c r="C103" t="s">
        <v>301</v>
      </c>
      <c r="D103">
        <v>6989</v>
      </c>
      <c r="E103">
        <v>12614</v>
      </c>
      <c r="F103">
        <v>96805</v>
      </c>
      <c r="G103">
        <f t="shared" si="7"/>
        <v>116408</v>
      </c>
    </row>
    <row r="104" spans="1:7">
      <c r="A104">
        <v>1990</v>
      </c>
      <c r="B104" t="s">
        <v>298</v>
      </c>
      <c r="C104" t="s">
        <v>301</v>
      </c>
      <c r="D104">
        <v>56384</v>
      </c>
      <c r="E104">
        <v>89372</v>
      </c>
      <c r="F104">
        <v>485518</v>
      </c>
      <c r="G104">
        <f t="shared" si="7"/>
        <v>631274</v>
      </c>
    </row>
    <row r="105" spans="1:7">
      <c r="A105">
        <v>1990</v>
      </c>
      <c r="B105" t="s">
        <v>298</v>
      </c>
      <c r="C105" t="s">
        <v>301</v>
      </c>
      <c r="D105">
        <v>23186</v>
      </c>
      <c r="E105">
        <v>125811</v>
      </c>
      <c r="F105" t="s">
        <v>16</v>
      </c>
      <c r="G105">
        <f t="shared" si="7"/>
        <v>148997</v>
      </c>
    </row>
    <row r="106" spans="1:7">
      <c r="A106">
        <v>1990</v>
      </c>
      <c r="B106" t="s">
        <v>298</v>
      </c>
      <c r="C106" t="s">
        <v>301</v>
      </c>
      <c r="D106" t="s">
        <v>16</v>
      </c>
      <c r="E106">
        <v>27434</v>
      </c>
      <c r="F106">
        <v>450</v>
      </c>
      <c r="G106">
        <f t="shared" si="7"/>
        <v>27884</v>
      </c>
    </row>
    <row r="107" spans="1:7">
      <c r="A107">
        <v>1990</v>
      </c>
      <c r="B107" t="s">
        <v>298</v>
      </c>
      <c r="C107" t="s">
        <v>301</v>
      </c>
      <c r="D107">
        <v>6272</v>
      </c>
      <c r="E107">
        <v>28893</v>
      </c>
      <c r="F107">
        <v>98422</v>
      </c>
      <c r="G107">
        <f t="shared" si="7"/>
        <v>133587</v>
      </c>
    </row>
    <row r="108" spans="1:7">
      <c r="A108">
        <v>1990</v>
      </c>
      <c r="B108" t="s">
        <v>298</v>
      </c>
      <c r="C108" t="s">
        <v>301</v>
      </c>
      <c r="D108">
        <v>27413</v>
      </c>
      <c r="E108">
        <v>198268</v>
      </c>
      <c r="F108">
        <v>1002790</v>
      </c>
      <c r="G108">
        <f t="shared" si="7"/>
        <v>1228471</v>
      </c>
    </row>
    <row r="109" spans="1:7">
      <c r="A109">
        <v>1990</v>
      </c>
      <c r="B109" t="s">
        <v>298</v>
      </c>
      <c r="C109" t="s">
        <v>301</v>
      </c>
      <c r="D109">
        <v>13485</v>
      </c>
      <c r="E109">
        <v>18794</v>
      </c>
      <c r="F109">
        <v>126359</v>
      </c>
      <c r="G109">
        <f t="shared" si="7"/>
        <v>158638</v>
      </c>
    </row>
    <row r="110" spans="1:7">
      <c r="A110">
        <v>1991</v>
      </c>
      <c r="B110" t="s">
        <v>298</v>
      </c>
      <c r="C110" t="s">
        <v>301</v>
      </c>
      <c r="D110">
        <v>4073</v>
      </c>
      <c r="E110">
        <v>18546</v>
      </c>
      <c r="F110">
        <v>79710</v>
      </c>
      <c r="G110">
        <f t="shared" si="7"/>
        <v>102329</v>
      </c>
    </row>
    <row r="111" spans="1:7">
      <c r="A111">
        <v>1991</v>
      </c>
      <c r="B111" t="s">
        <v>298</v>
      </c>
      <c r="C111" t="s">
        <v>301</v>
      </c>
      <c r="D111">
        <v>48782</v>
      </c>
      <c r="E111">
        <v>108182</v>
      </c>
      <c r="F111">
        <v>507034</v>
      </c>
      <c r="G111">
        <f t="shared" si="7"/>
        <v>663998</v>
      </c>
    </row>
    <row r="112" spans="1:7">
      <c r="A112">
        <v>1991</v>
      </c>
      <c r="B112" t="s">
        <v>298</v>
      </c>
      <c r="C112" t="s">
        <v>301</v>
      </c>
      <c r="D112">
        <v>23186</v>
      </c>
      <c r="E112">
        <v>125811</v>
      </c>
      <c r="F112" t="s">
        <v>16</v>
      </c>
      <c r="G112">
        <f t="shared" si="7"/>
        <v>148997</v>
      </c>
    </row>
    <row r="113" spans="1:7">
      <c r="A113">
        <v>1991</v>
      </c>
      <c r="B113" t="s">
        <v>298</v>
      </c>
      <c r="C113" t="s">
        <v>301</v>
      </c>
      <c r="D113">
        <v>5114</v>
      </c>
      <c r="E113" t="s">
        <v>16</v>
      </c>
      <c r="F113">
        <v>209391</v>
      </c>
      <c r="G113">
        <f t="shared" si="7"/>
        <v>214505</v>
      </c>
    </row>
    <row r="114" spans="1:7">
      <c r="A114">
        <v>1991</v>
      </c>
      <c r="B114" t="s">
        <v>298</v>
      </c>
      <c r="C114" t="s">
        <v>301</v>
      </c>
      <c r="D114">
        <v>19563</v>
      </c>
      <c r="E114">
        <v>31067</v>
      </c>
      <c r="F114">
        <v>192027</v>
      </c>
      <c r="G114">
        <f t="shared" si="7"/>
        <v>242657</v>
      </c>
    </row>
    <row r="115" spans="1:7">
      <c r="A115">
        <v>1991</v>
      </c>
      <c r="B115" t="s">
        <v>298</v>
      </c>
      <c r="C115" t="s">
        <v>301</v>
      </c>
      <c r="D115">
        <v>6305</v>
      </c>
      <c r="E115">
        <v>29165</v>
      </c>
      <c r="F115">
        <v>97113</v>
      </c>
      <c r="G115">
        <f t="shared" si="7"/>
        <v>132583</v>
      </c>
    </row>
    <row r="116" spans="1:7">
      <c r="A116">
        <v>1991</v>
      </c>
      <c r="B116" t="s">
        <v>298</v>
      </c>
      <c r="C116" t="s">
        <v>301</v>
      </c>
      <c r="D116">
        <v>17680</v>
      </c>
      <c r="E116">
        <v>218894</v>
      </c>
      <c r="F116">
        <v>937849</v>
      </c>
      <c r="G116">
        <f t="shared" si="7"/>
        <v>1174423</v>
      </c>
    </row>
    <row r="117" spans="1:7">
      <c r="A117">
        <v>1983</v>
      </c>
      <c r="B117" t="s">
        <v>310</v>
      </c>
      <c r="C117" t="s">
        <v>311</v>
      </c>
      <c r="D117" t="s">
        <v>16</v>
      </c>
      <c r="E117" t="s">
        <v>16</v>
      </c>
      <c r="F117" t="s">
        <v>16</v>
      </c>
      <c r="G117">
        <f t="shared" si="7"/>
        <v>0</v>
      </c>
    </row>
    <row r="118" spans="1:7">
      <c r="A118">
        <v>1983</v>
      </c>
      <c r="B118" t="s">
        <v>310</v>
      </c>
      <c r="C118" t="s">
        <v>311</v>
      </c>
      <c r="D118" t="s">
        <v>16</v>
      </c>
      <c r="E118" t="s">
        <v>16</v>
      </c>
      <c r="F118" t="s">
        <v>16</v>
      </c>
      <c r="G118">
        <f t="shared" si="7"/>
        <v>0</v>
      </c>
    </row>
    <row r="119" spans="1:7">
      <c r="A119">
        <v>1983</v>
      </c>
      <c r="B119" t="s">
        <v>310</v>
      </c>
      <c r="C119" t="s">
        <v>311</v>
      </c>
      <c r="D119" t="s">
        <v>16</v>
      </c>
      <c r="E119" t="s">
        <v>16</v>
      </c>
      <c r="F119" t="s">
        <v>16</v>
      </c>
      <c r="G119">
        <f t="shared" si="7"/>
        <v>0</v>
      </c>
    </row>
    <row r="120" spans="1:7">
      <c r="A120">
        <v>1983</v>
      </c>
      <c r="B120" t="s">
        <v>310</v>
      </c>
      <c r="C120" t="s">
        <v>311</v>
      </c>
      <c r="D120" t="s">
        <v>16</v>
      </c>
      <c r="E120" t="s">
        <v>16</v>
      </c>
      <c r="F120" t="s">
        <v>16</v>
      </c>
      <c r="G120">
        <f t="shared" si="7"/>
        <v>0</v>
      </c>
    </row>
    <row r="121" spans="1:7">
      <c r="A121">
        <v>1984</v>
      </c>
      <c r="B121" t="s">
        <v>310</v>
      </c>
      <c r="C121" t="s">
        <v>311</v>
      </c>
      <c r="D121" t="s">
        <v>16</v>
      </c>
      <c r="E121" t="s">
        <v>16</v>
      </c>
      <c r="F121" t="s">
        <v>16</v>
      </c>
      <c r="G121">
        <f t="shared" si="7"/>
        <v>0</v>
      </c>
    </row>
    <row r="122" spans="1:7">
      <c r="A122">
        <v>1984</v>
      </c>
      <c r="B122" t="s">
        <v>310</v>
      </c>
      <c r="C122" t="s">
        <v>311</v>
      </c>
      <c r="D122" t="s">
        <v>16</v>
      </c>
      <c r="E122" t="s">
        <v>16</v>
      </c>
      <c r="F122" t="s">
        <v>16</v>
      </c>
      <c r="G122">
        <f t="shared" si="7"/>
        <v>0</v>
      </c>
    </row>
    <row r="123" spans="1:7">
      <c r="A123">
        <v>1984</v>
      </c>
      <c r="B123" t="s">
        <v>310</v>
      </c>
      <c r="C123" t="s">
        <v>311</v>
      </c>
      <c r="D123" t="s">
        <v>16</v>
      </c>
      <c r="E123" t="s">
        <v>16</v>
      </c>
      <c r="F123" t="s">
        <v>16</v>
      </c>
      <c r="G123">
        <f t="shared" si="7"/>
        <v>0</v>
      </c>
    </row>
    <row r="124" spans="1:7">
      <c r="A124">
        <v>1984</v>
      </c>
      <c r="B124" t="s">
        <v>310</v>
      </c>
      <c r="C124" t="s">
        <v>311</v>
      </c>
      <c r="D124" t="s">
        <v>16</v>
      </c>
      <c r="E124" t="s">
        <v>16</v>
      </c>
      <c r="F124" t="s">
        <v>16</v>
      </c>
      <c r="G124">
        <f t="shared" si="7"/>
        <v>0</v>
      </c>
    </row>
    <row r="125" spans="1:7">
      <c r="A125">
        <v>1984</v>
      </c>
      <c r="B125" t="s">
        <v>310</v>
      </c>
      <c r="C125" t="s">
        <v>311</v>
      </c>
      <c r="D125" t="s">
        <v>16</v>
      </c>
      <c r="E125" t="s">
        <v>16</v>
      </c>
      <c r="F125" t="s">
        <v>16</v>
      </c>
      <c r="G125">
        <f t="shared" si="7"/>
        <v>0</v>
      </c>
    </row>
    <row r="126" spans="1:7">
      <c r="A126">
        <v>1984</v>
      </c>
      <c r="B126" t="s">
        <v>310</v>
      </c>
      <c r="C126" t="s">
        <v>311</v>
      </c>
      <c r="D126" t="s">
        <v>16</v>
      </c>
      <c r="E126" t="s">
        <v>16</v>
      </c>
      <c r="F126" t="s">
        <v>16</v>
      </c>
      <c r="G126">
        <f t="shared" si="7"/>
        <v>0</v>
      </c>
    </row>
    <row r="127" spans="1:7">
      <c r="A127">
        <v>1985</v>
      </c>
      <c r="B127" t="s">
        <v>310</v>
      </c>
      <c r="C127" t="s">
        <v>311</v>
      </c>
      <c r="D127" t="s">
        <v>16</v>
      </c>
      <c r="E127" t="s">
        <v>16</v>
      </c>
      <c r="F127" t="s">
        <v>16</v>
      </c>
      <c r="G127">
        <f t="shared" si="7"/>
        <v>0</v>
      </c>
    </row>
    <row r="128" spans="1:7">
      <c r="A128">
        <v>1985</v>
      </c>
      <c r="B128" t="s">
        <v>310</v>
      </c>
      <c r="C128" t="s">
        <v>311</v>
      </c>
      <c r="D128" t="s">
        <v>16</v>
      </c>
      <c r="E128" t="s">
        <v>16</v>
      </c>
      <c r="F128" t="s">
        <v>16</v>
      </c>
      <c r="G128">
        <f t="shared" si="7"/>
        <v>0</v>
      </c>
    </row>
    <row r="129" spans="1:7">
      <c r="A129">
        <v>1985</v>
      </c>
      <c r="B129" t="s">
        <v>310</v>
      </c>
      <c r="C129" t="s">
        <v>311</v>
      </c>
      <c r="D129" t="s">
        <v>16</v>
      </c>
      <c r="E129" t="s">
        <v>16</v>
      </c>
      <c r="F129" t="s">
        <v>16</v>
      </c>
      <c r="G129">
        <f t="shared" si="7"/>
        <v>0</v>
      </c>
    </row>
    <row r="130" spans="1:7">
      <c r="A130">
        <v>1985</v>
      </c>
      <c r="B130" t="s">
        <v>310</v>
      </c>
      <c r="C130" t="s">
        <v>311</v>
      </c>
      <c r="D130" t="s">
        <v>16</v>
      </c>
      <c r="E130" t="s">
        <v>16</v>
      </c>
      <c r="F130" t="s">
        <v>16</v>
      </c>
      <c r="G130">
        <f t="shared" si="7"/>
        <v>0</v>
      </c>
    </row>
    <row r="131" spans="1:7">
      <c r="A131">
        <v>1985</v>
      </c>
      <c r="B131" t="s">
        <v>310</v>
      </c>
      <c r="C131" t="s">
        <v>311</v>
      </c>
      <c r="D131" t="s">
        <v>16</v>
      </c>
      <c r="E131" t="s">
        <v>16</v>
      </c>
      <c r="F131" t="s">
        <v>16</v>
      </c>
      <c r="G131">
        <f t="shared" ref="G131:G194" si="8">SUM(D131:F131)</f>
        <v>0</v>
      </c>
    </row>
    <row r="132" spans="1:7">
      <c r="A132">
        <v>1985</v>
      </c>
      <c r="B132" t="s">
        <v>310</v>
      </c>
      <c r="C132" t="s">
        <v>311</v>
      </c>
      <c r="D132" t="s">
        <v>16</v>
      </c>
      <c r="E132" t="s">
        <v>16</v>
      </c>
      <c r="F132" t="s">
        <v>16</v>
      </c>
      <c r="G132">
        <f t="shared" si="8"/>
        <v>0</v>
      </c>
    </row>
    <row r="133" spans="1:7">
      <c r="A133">
        <v>1985</v>
      </c>
      <c r="B133" t="s">
        <v>310</v>
      </c>
      <c r="C133" t="s">
        <v>311</v>
      </c>
      <c r="D133" t="s">
        <v>16</v>
      </c>
      <c r="E133" t="s">
        <v>16</v>
      </c>
      <c r="F133" t="s">
        <v>16</v>
      </c>
      <c r="G133">
        <f t="shared" si="8"/>
        <v>0</v>
      </c>
    </row>
    <row r="134" spans="1:7">
      <c r="A134">
        <v>1985</v>
      </c>
      <c r="B134" t="s">
        <v>310</v>
      </c>
      <c r="C134" t="s">
        <v>311</v>
      </c>
      <c r="D134" t="s">
        <v>16</v>
      </c>
      <c r="E134" t="s">
        <v>16</v>
      </c>
      <c r="F134" t="s">
        <v>16</v>
      </c>
      <c r="G134">
        <f t="shared" si="8"/>
        <v>0</v>
      </c>
    </row>
    <row r="135" spans="1:7">
      <c r="A135">
        <v>1985</v>
      </c>
      <c r="B135" t="s">
        <v>310</v>
      </c>
      <c r="C135" t="s">
        <v>311</v>
      </c>
      <c r="D135" t="s">
        <v>16</v>
      </c>
      <c r="E135" t="s">
        <v>16</v>
      </c>
      <c r="F135" t="s">
        <v>16</v>
      </c>
      <c r="G135">
        <f t="shared" si="8"/>
        <v>0</v>
      </c>
    </row>
    <row r="136" spans="1:7">
      <c r="A136">
        <v>1986</v>
      </c>
      <c r="B136" t="s">
        <v>310</v>
      </c>
      <c r="C136" t="s">
        <v>311</v>
      </c>
      <c r="D136" t="s">
        <v>16</v>
      </c>
      <c r="E136" t="s">
        <v>16</v>
      </c>
      <c r="F136" t="s">
        <v>16</v>
      </c>
      <c r="G136">
        <f t="shared" si="8"/>
        <v>0</v>
      </c>
    </row>
    <row r="137" spans="1:7">
      <c r="A137">
        <v>1986</v>
      </c>
      <c r="B137" t="s">
        <v>310</v>
      </c>
      <c r="C137" t="s">
        <v>311</v>
      </c>
      <c r="D137" t="s">
        <v>16</v>
      </c>
      <c r="E137" t="s">
        <v>16</v>
      </c>
      <c r="F137" t="s">
        <v>16</v>
      </c>
      <c r="G137">
        <f t="shared" si="8"/>
        <v>0</v>
      </c>
    </row>
    <row r="138" spans="1:7">
      <c r="A138">
        <v>1986</v>
      </c>
      <c r="B138" t="s">
        <v>310</v>
      </c>
      <c r="C138" t="s">
        <v>311</v>
      </c>
      <c r="D138" t="s">
        <v>16</v>
      </c>
      <c r="E138" t="s">
        <v>16</v>
      </c>
      <c r="F138" t="s">
        <v>16</v>
      </c>
      <c r="G138">
        <f t="shared" si="8"/>
        <v>0</v>
      </c>
    </row>
    <row r="139" spans="1:7">
      <c r="A139">
        <v>1986</v>
      </c>
      <c r="B139" t="s">
        <v>310</v>
      </c>
      <c r="C139" t="s">
        <v>311</v>
      </c>
      <c r="D139" t="s">
        <v>16</v>
      </c>
      <c r="E139" t="s">
        <v>16</v>
      </c>
      <c r="F139" t="s">
        <v>16</v>
      </c>
      <c r="G139">
        <f t="shared" si="8"/>
        <v>0</v>
      </c>
    </row>
    <row r="140" spans="1:7">
      <c r="A140">
        <v>1986</v>
      </c>
      <c r="B140" t="s">
        <v>310</v>
      </c>
      <c r="C140" t="s">
        <v>311</v>
      </c>
      <c r="D140" t="s">
        <v>16</v>
      </c>
      <c r="E140" t="s">
        <v>16</v>
      </c>
      <c r="F140" t="s">
        <v>16</v>
      </c>
      <c r="G140">
        <f t="shared" si="8"/>
        <v>0</v>
      </c>
    </row>
    <row r="141" spans="1:7">
      <c r="A141">
        <v>1986</v>
      </c>
      <c r="B141" t="s">
        <v>310</v>
      </c>
      <c r="C141" t="s">
        <v>311</v>
      </c>
      <c r="D141" t="s">
        <v>16</v>
      </c>
      <c r="E141" t="s">
        <v>16</v>
      </c>
      <c r="F141" t="s">
        <v>16</v>
      </c>
      <c r="G141">
        <f t="shared" si="8"/>
        <v>0</v>
      </c>
    </row>
    <row r="142" spans="1:7">
      <c r="A142">
        <v>1987</v>
      </c>
      <c r="B142" t="s">
        <v>310</v>
      </c>
      <c r="C142" t="s">
        <v>311</v>
      </c>
      <c r="D142" t="s">
        <v>16</v>
      </c>
      <c r="E142" t="s">
        <v>16</v>
      </c>
      <c r="F142" t="s">
        <v>16</v>
      </c>
      <c r="G142">
        <f t="shared" si="8"/>
        <v>0</v>
      </c>
    </row>
    <row r="143" spans="1:7">
      <c r="A143">
        <v>1987</v>
      </c>
      <c r="B143" t="s">
        <v>310</v>
      </c>
      <c r="C143" t="s">
        <v>311</v>
      </c>
      <c r="D143" t="s">
        <v>16</v>
      </c>
      <c r="E143" t="s">
        <v>16</v>
      </c>
      <c r="F143" t="s">
        <v>16</v>
      </c>
      <c r="G143">
        <f t="shared" si="8"/>
        <v>0</v>
      </c>
    </row>
    <row r="144" spans="1:7">
      <c r="A144">
        <v>1987</v>
      </c>
      <c r="B144" t="s">
        <v>310</v>
      </c>
      <c r="C144" t="s">
        <v>311</v>
      </c>
      <c r="D144" t="s">
        <v>16</v>
      </c>
      <c r="E144" t="s">
        <v>16</v>
      </c>
      <c r="F144" t="s">
        <v>16</v>
      </c>
      <c r="G144">
        <f t="shared" si="8"/>
        <v>0</v>
      </c>
    </row>
    <row r="145" spans="1:7">
      <c r="A145">
        <v>1987</v>
      </c>
      <c r="B145" t="s">
        <v>310</v>
      </c>
      <c r="C145" t="s">
        <v>311</v>
      </c>
      <c r="D145" t="s">
        <v>16</v>
      </c>
      <c r="E145" t="s">
        <v>16</v>
      </c>
      <c r="F145" t="s">
        <v>16</v>
      </c>
      <c r="G145">
        <f t="shared" si="8"/>
        <v>0</v>
      </c>
    </row>
    <row r="146" spans="1:7">
      <c r="A146">
        <v>1987</v>
      </c>
      <c r="B146" t="s">
        <v>310</v>
      </c>
      <c r="C146" t="s">
        <v>311</v>
      </c>
      <c r="D146" t="s">
        <v>16</v>
      </c>
      <c r="E146" t="s">
        <v>16</v>
      </c>
      <c r="F146" t="s">
        <v>16</v>
      </c>
      <c r="G146">
        <f t="shared" si="8"/>
        <v>0</v>
      </c>
    </row>
    <row r="147" spans="1:7">
      <c r="A147">
        <v>1987</v>
      </c>
      <c r="B147" t="s">
        <v>310</v>
      </c>
      <c r="C147" t="s">
        <v>311</v>
      </c>
      <c r="D147" t="s">
        <v>16</v>
      </c>
      <c r="E147" t="s">
        <v>16</v>
      </c>
      <c r="F147" t="s">
        <v>16</v>
      </c>
      <c r="G147">
        <f t="shared" si="8"/>
        <v>0</v>
      </c>
    </row>
    <row r="148" spans="1:7">
      <c r="A148">
        <v>1987</v>
      </c>
      <c r="B148" t="s">
        <v>310</v>
      </c>
      <c r="C148" t="s">
        <v>311</v>
      </c>
      <c r="D148" t="s">
        <v>16</v>
      </c>
      <c r="E148" t="s">
        <v>16</v>
      </c>
      <c r="F148" t="s">
        <v>16</v>
      </c>
      <c r="G148">
        <f t="shared" si="8"/>
        <v>0</v>
      </c>
    </row>
    <row r="149" spans="1:7">
      <c r="A149">
        <v>1988</v>
      </c>
      <c r="B149" t="s">
        <v>310</v>
      </c>
      <c r="C149" t="s">
        <v>311</v>
      </c>
      <c r="D149" t="s">
        <v>16</v>
      </c>
      <c r="E149" t="s">
        <v>16</v>
      </c>
      <c r="F149" t="s">
        <v>16</v>
      </c>
      <c r="G149">
        <f t="shared" si="8"/>
        <v>0</v>
      </c>
    </row>
    <row r="150" spans="1:7">
      <c r="A150">
        <v>1988</v>
      </c>
      <c r="B150" t="s">
        <v>310</v>
      </c>
      <c r="C150" t="s">
        <v>311</v>
      </c>
      <c r="D150" t="s">
        <v>16</v>
      </c>
      <c r="E150" t="s">
        <v>16</v>
      </c>
      <c r="F150" t="s">
        <v>16</v>
      </c>
      <c r="G150">
        <f t="shared" si="8"/>
        <v>0</v>
      </c>
    </row>
    <row r="151" spans="1:7">
      <c r="A151">
        <v>1988</v>
      </c>
      <c r="B151" t="s">
        <v>310</v>
      </c>
      <c r="C151" t="s">
        <v>311</v>
      </c>
      <c r="D151" t="s">
        <v>16</v>
      </c>
      <c r="E151" t="s">
        <v>16</v>
      </c>
      <c r="F151" t="s">
        <v>16</v>
      </c>
      <c r="G151">
        <f t="shared" si="8"/>
        <v>0</v>
      </c>
    </row>
    <row r="152" spans="1:7">
      <c r="A152">
        <v>1988</v>
      </c>
      <c r="B152" t="s">
        <v>310</v>
      </c>
      <c r="C152" t="s">
        <v>311</v>
      </c>
      <c r="D152" t="s">
        <v>16</v>
      </c>
      <c r="E152" t="s">
        <v>16</v>
      </c>
      <c r="F152" t="s">
        <v>16</v>
      </c>
      <c r="G152">
        <f t="shared" si="8"/>
        <v>0</v>
      </c>
    </row>
    <row r="153" spans="1:7">
      <c r="A153">
        <v>1988</v>
      </c>
      <c r="B153" t="s">
        <v>310</v>
      </c>
      <c r="C153" t="s">
        <v>311</v>
      </c>
      <c r="D153" t="s">
        <v>16</v>
      </c>
      <c r="E153" t="s">
        <v>16</v>
      </c>
      <c r="F153" t="s">
        <v>16</v>
      </c>
      <c r="G153">
        <f t="shared" si="8"/>
        <v>0</v>
      </c>
    </row>
    <row r="154" spans="1:7">
      <c r="A154">
        <v>1988</v>
      </c>
      <c r="B154" t="s">
        <v>310</v>
      </c>
      <c r="C154" t="s">
        <v>311</v>
      </c>
      <c r="D154" t="s">
        <v>16</v>
      </c>
      <c r="E154" t="s">
        <v>16</v>
      </c>
      <c r="F154" t="s">
        <v>16</v>
      </c>
      <c r="G154">
        <f t="shared" si="8"/>
        <v>0</v>
      </c>
    </row>
    <row r="155" spans="1:7">
      <c r="A155">
        <v>1988</v>
      </c>
      <c r="B155" t="s">
        <v>310</v>
      </c>
      <c r="C155" t="s">
        <v>311</v>
      </c>
      <c r="D155" t="s">
        <v>16</v>
      </c>
      <c r="E155" t="s">
        <v>16</v>
      </c>
      <c r="F155" t="s">
        <v>16</v>
      </c>
      <c r="G155">
        <f t="shared" si="8"/>
        <v>0</v>
      </c>
    </row>
    <row r="156" spans="1:7">
      <c r="A156">
        <v>1989</v>
      </c>
      <c r="B156" t="s">
        <v>310</v>
      </c>
      <c r="C156" t="s">
        <v>311</v>
      </c>
      <c r="D156" t="s">
        <v>16</v>
      </c>
      <c r="E156" t="s">
        <v>16</v>
      </c>
      <c r="F156" t="s">
        <v>16</v>
      </c>
      <c r="G156">
        <f t="shared" si="8"/>
        <v>0</v>
      </c>
    </row>
    <row r="157" spans="1:7">
      <c r="A157">
        <v>1989</v>
      </c>
      <c r="B157" t="s">
        <v>310</v>
      </c>
      <c r="C157" t="s">
        <v>311</v>
      </c>
      <c r="D157" t="s">
        <v>16</v>
      </c>
      <c r="E157" t="s">
        <v>16</v>
      </c>
      <c r="F157" t="s">
        <v>16</v>
      </c>
      <c r="G157">
        <f t="shared" si="8"/>
        <v>0</v>
      </c>
    </row>
    <row r="158" spans="1:7">
      <c r="A158">
        <v>1989</v>
      </c>
      <c r="B158" t="s">
        <v>310</v>
      </c>
      <c r="C158" t="s">
        <v>311</v>
      </c>
      <c r="D158" t="s">
        <v>16</v>
      </c>
      <c r="E158" t="s">
        <v>16</v>
      </c>
      <c r="F158" t="s">
        <v>16</v>
      </c>
      <c r="G158">
        <f t="shared" si="8"/>
        <v>0</v>
      </c>
    </row>
    <row r="159" spans="1:7">
      <c r="A159">
        <v>1983</v>
      </c>
      <c r="B159" t="s">
        <v>310</v>
      </c>
      <c r="C159" t="s">
        <v>312</v>
      </c>
      <c r="D159" t="s">
        <v>16</v>
      </c>
      <c r="E159" t="s">
        <v>16</v>
      </c>
      <c r="F159" t="s">
        <v>16</v>
      </c>
      <c r="G159">
        <f t="shared" si="8"/>
        <v>0</v>
      </c>
    </row>
    <row r="160" spans="1:7">
      <c r="A160">
        <v>1983</v>
      </c>
      <c r="B160" t="s">
        <v>310</v>
      </c>
      <c r="C160" t="s">
        <v>312</v>
      </c>
      <c r="D160" t="s">
        <v>16</v>
      </c>
      <c r="E160" t="s">
        <v>16</v>
      </c>
      <c r="F160" t="s">
        <v>16</v>
      </c>
      <c r="G160">
        <f t="shared" si="8"/>
        <v>0</v>
      </c>
    </row>
    <row r="161" spans="1:7">
      <c r="A161">
        <v>1983</v>
      </c>
      <c r="B161" t="s">
        <v>310</v>
      </c>
      <c r="C161" t="s">
        <v>312</v>
      </c>
      <c r="D161" t="s">
        <v>16</v>
      </c>
      <c r="E161" t="s">
        <v>16</v>
      </c>
      <c r="F161" t="s">
        <v>16</v>
      </c>
      <c r="G161">
        <f t="shared" si="8"/>
        <v>0</v>
      </c>
    </row>
    <row r="162" spans="1:7">
      <c r="A162">
        <v>1983</v>
      </c>
      <c r="B162" t="s">
        <v>310</v>
      </c>
      <c r="C162" t="s">
        <v>312</v>
      </c>
      <c r="D162" t="s">
        <v>16</v>
      </c>
      <c r="E162" t="s">
        <v>16</v>
      </c>
      <c r="F162" t="s">
        <v>16</v>
      </c>
      <c r="G162">
        <f t="shared" si="8"/>
        <v>0</v>
      </c>
    </row>
    <row r="163" spans="1:7">
      <c r="A163">
        <v>1983</v>
      </c>
      <c r="B163" t="s">
        <v>310</v>
      </c>
      <c r="C163" t="s">
        <v>312</v>
      </c>
      <c r="D163" t="s">
        <v>16</v>
      </c>
      <c r="E163" t="s">
        <v>16</v>
      </c>
      <c r="F163" t="s">
        <v>16</v>
      </c>
      <c r="G163">
        <f t="shared" si="8"/>
        <v>0</v>
      </c>
    </row>
    <row r="164" spans="1:7">
      <c r="A164">
        <v>1984</v>
      </c>
      <c r="B164" t="s">
        <v>310</v>
      </c>
      <c r="C164" t="s">
        <v>312</v>
      </c>
      <c r="D164" t="s">
        <v>16</v>
      </c>
      <c r="E164" t="s">
        <v>16</v>
      </c>
      <c r="F164" t="s">
        <v>16</v>
      </c>
      <c r="G164">
        <f t="shared" si="8"/>
        <v>0</v>
      </c>
    </row>
    <row r="165" spans="1:7">
      <c r="A165">
        <v>1984</v>
      </c>
      <c r="B165" t="s">
        <v>310</v>
      </c>
      <c r="C165" t="s">
        <v>312</v>
      </c>
      <c r="D165" t="s">
        <v>16</v>
      </c>
      <c r="E165" t="s">
        <v>16</v>
      </c>
      <c r="F165" t="s">
        <v>16</v>
      </c>
      <c r="G165">
        <f t="shared" si="8"/>
        <v>0</v>
      </c>
    </row>
    <row r="166" spans="1:7">
      <c r="A166">
        <v>1984</v>
      </c>
      <c r="B166" t="s">
        <v>310</v>
      </c>
      <c r="C166" t="s">
        <v>312</v>
      </c>
      <c r="D166" t="s">
        <v>16</v>
      </c>
      <c r="E166" t="s">
        <v>16</v>
      </c>
      <c r="F166" t="s">
        <v>16</v>
      </c>
      <c r="G166">
        <f t="shared" si="8"/>
        <v>0</v>
      </c>
    </row>
    <row r="167" spans="1:7">
      <c r="A167">
        <v>1984</v>
      </c>
      <c r="B167" t="s">
        <v>310</v>
      </c>
      <c r="C167" t="s">
        <v>312</v>
      </c>
      <c r="D167" t="s">
        <v>16</v>
      </c>
      <c r="E167" t="s">
        <v>16</v>
      </c>
      <c r="F167" t="s">
        <v>16</v>
      </c>
      <c r="G167">
        <f t="shared" si="8"/>
        <v>0</v>
      </c>
    </row>
    <row r="168" spans="1:7">
      <c r="A168">
        <v>1984</v>
      </c>
      <c r="B168" t="s">
        <v>310</v>
      </c>
      <c r="C168" t="s">
        <v>312</v>
      </c>
      <c r="D168" t="s">
        <v>16</v>
      </c>
      <c r="E168" t="s">
        <v>16</v>
      </c>
      <c r="F168" t="s">
        <v>16</v>
      </c>
      <c r="G168">
        <f t="shared" si="8"/>
        <v>0</v>
      </c>
    </row>
    <row r="169" spans="1:7">
      <c r="A169">
        <v>1984</v>
      </c>
      <c r="B169" t="s">
        <v>310</v>
      </c>
      <c r="C169" t="s">
        <v>312</v>
      </c>
      <c r="D169" t="s">
        <v>16</v>
      </c>
      <c r="E169" t="s">
        <v>16</v>
      </c>
      <c r="F169" t="s">
        <v>16</v>
      </c>
      <c r="G169">
        <f t="shared" si="8"/>
        <v>0</v>
      </c>
    </row>
    <row r="170" spans="1:7">
      <c r="A170">
        <v>1984</v>
      </c>
      <c r="B170" t="s">
        <v>310</v>
      </c>
      <c r="C170" t="s">
        <v>312</v>
      </c>
      <c r="D170" t="s">
        <v>16</v>
      </c>
      <c r="E170" t="s">
        <v>16</v>
      </c>
      <c r="F170" t="s">
        <v>16</v>
      </c>
      <c r="G170">
        <f t="shared" si="8"/>
        <v>0</v>
      </c>
    </row>
    <row r="171" spans="1:7">
      <c r="A171">
        <v>1985</v>
      </c>
      <c r="B171" t="s">
        <v>310</v>
      </c>
      <c r="C171" t="s">
        <v>312</v>
      </c>
      <c r="D171" t="s">
        <v>16</v>
      </c>
      <c r="E171" t="s">
        <v>16</v>
      </c>
      <c r="F171" t="s">
        <v>16</v>
      </c>
      <c r="G171">
        <f t="shared" si="8"/>
        <v>0</v>
      </c>
    </row>
    <row r="172" spans="1:7">
      <c r="A172">
        <v>1985</v>
      </c>
      <c r="B172" t="s">
        <v>310</v>
      </c>
      <c r="C172" t="s">
        <v>312</v>
      </c>
      <c r="D172" t="s">
        <v>16</v>
      </c>
      <c r="E172" t="s">
        <v>16</v>
      </c>
      <c r="F172" t="s">
        <v>16</v>
      </c>
      <c r="G172">
        <f t="shared" si="8"/>
        <v>0</v>
      </c>
    </row>
    <row r="173" spans="1:7">
      <c r="A173">
        <v>1985</v>
      </c>
      <c r="B173" t="s">
        <v>310</v>
      </c>
      <c r="C173" t="s">
        <v>312</v>
      </c>
      <c r="D173" t="s">
        <v>16</v>
      </c>
      <c r="E173" t="s">
        <v>16</v>
      </c>
      <c r="F173" t="s">
        <v>16</v>
      </c>
      <c r="G173">
        <f t="shared" si="8"/>
        <v>0</v>
      </c>
    </row>
    <row r="174" spans="1:7">
      <c r="A174">
        <v>1985</v>
      </c>
      <c r="B174" t="s">
        <v>310</v>
      </c>
      <c r="C174" t="s">
        <v>312</v>
      </c>
      <c r="D174" t="s">
        <v>16</v>
      </c>
      <c r="E174" t="s">
        <v>16</v>
      </c>
      <c r="F174" t="s">
        <v>16</v>
      </c>
      <c r="G174">
        <f t="shared" si="8"/>
        <v>0</v>
      </c>
    </row>
    <row r="175" spans="1:7">
      <c r="A175">
        <v>1985</v>
      </c>
      <c r="B175" t="s">
        <v>310</v>
      </c>
      <c r="C175" t="s">
        <v>312</v>
      </c>
      <c r="D175" t="s">
        <v>16</v>
      </c>
      <c r="E175" t="s">
        <v>16</v>
      </c>
      <c r="F175" t="s">
        <v>16</v>
      </c>
      <c r="G175">
        <f t="shared" si="8"/>
        <v>0</v>
      </c>
    </row>
    <row r="176" spans="1:7">
      <c r="A176">
        <v>1986</v>
      </c>
      <c r="B176" t="s">
        <v>310</v>
      </c>
      <c r="C176" t="s">
        <v>312</v>
      </c>
      <c r="D176" t="s">
        <v>16</v>
      </c>
      <c r="E176" t="s">
        <v>16</v>
      </c>
      <c r="F176" t="s">
        <v>16</v>
      </c>
      <c r="G176">
        <f t="shared" si="8"/>
        <v>0</v>
      </c>
    </row>
    <row r="177" spans="1:7">
      <c r="A177">
        <v>1986</v>
      </c>
      <c r="B177" t="s">
        <v>310</v>
      </c>
      <c r="C177" t="s">
        <v>312</v>
      </c>
      <c r="D177" t="s">
        <v>16</v>
      </c>
      <c r="E177" t="s">
        <v>16</v>
      </c>
      <c r="F177" t="s">
        <v>16</v>
      </c>
      <c r="G177">
        <f t="shared" si="8"/>
        <v>0</v>
      </c>
    </row>
    <row r="178" spans="1:7">
      <c r="A178">
        <v>1986</v>
      </c>
      <c r="B178" t="s">
        <v>310</v>
      </c>
      <c r="C178" t="s">
        <v>312</v>
      </c>
      <c r="D178" t="s">
        <v>16</v>
      </c>
      <c r="E178" t="s">
        <v>16</v>
      </c>
      <c r="F178" t="s">
        <v>16</v>
      </c>
      <c r="G178">
        <f t="shared" si="8"/>
        <v>0</v>
      </c>
    </row>
    <row r="179" spans="1:7">
      <c r="A179">
        <v>1986</v>
      </c>
      <c r="B179" t="s">
        <v>310</v>
      </c>
      <c r="C179" t="s">
        <v>312</v>
      </c>
      <c r="D179" t="s">
        <v>16</v>
      </c>
      <c r="E179" t="s">
        <v>16</v>
      </c>
      <c r="F179" t="s">
        <v>16</v>
      </c>
      <c r="G179">
        <f t="shared" si="8"/>
        <v>0</v>
      </c>
    </row>
    <row r="180" spans="1:7">
      <c r="A180">
        <v>1986</v>
      </c>
      <c r="B180" t="s">
        <v>310</v>
      </c>
      <c r="C180" t="s">
        <v>312</v>
      </c>
      <c r="D180" t="s">
        <v>16</v>
      </c>
      <c r="E180" t="s">
        <v>16</v>
      </c>
      <c r="F180" t="s">
        <v>16</v>
      </c>
      <c r="G180">
        <f t="shared" si="8"/>
        <v>0</v>
      </c>
    </row>
    <row r="181" spans="1:7">
      <c r="A181">
        <v>1986</v>
      </c>
      <c r="B181" t="s">
        <v>310</v>
      </c>
      <c r="C181" t="s">
        <v>312</v>
      </c>
      <c r="D181" t="s">
        <v>16</v>
      </c>
      <c r="E181" t="s">
        <v>16</v>
      </c>
      <c r="F181" t="s">
        <v>16</v>
      </c>
      <c r="G181">
        <f t="shared" si="8"/>
        <v>0</v>
      </c>
    </row>
    <row r="182" spans="1:7">
      <c r="A182">
        <v>1987</v>
      </c>
      <c r="B182" t="s">
        <v>310</v>
      </c>
      <c r="C182" t="s">
        <v>312</v>
      </c>
      <c r="D182" t="s">
        <v>16</v>
      </c>
      <c r="E182" t="s">
        <v>16</v>
      </c>
      <c r="F182" t="s">
        <v>16</v>
      </c>
      <c r="G182">
        <f t="shared" si="8"/>
        <v>0</v>
      </c>
    </row>
    <row r="183" spans="1:7">
      <c r="A183">
        <v>1987</v>
      </c>
      <c r="B183" t="s">
        <v>310</v>
      </c>
      <c r="C183" t="s">
        <v>312</v>
      </c>
      <c r="D183" t="s">
        <v>16</v>
      </c>
      <c r="E183" t="s">
        <v>16</v>
      </c>
      <c r="F183" t="s">
        <v>16</v>
      </c>
      <c r="G183">
        <f t="shared" si="8"/>
        <v>0</v>
      </c>
    </row>
    <row r="184" spans="1:7">
      <c r="A184">
        <v>1987</v>
      </c>
      <c r="B184" t="s">
        <v>310</v>
      </c>
      <c r="C184" t="s">
        <v>312</v>
      </c>
      <c r="D184" t="s">
        <v>16</v>
      </c>
      <c r="E184" t="s">
        <v>16</v>
      </c>
      <c r="F184" t="s">
        <v>16</v>
      </c>
      <c r="G184">
        <f t="shared" si="8"/>
        <v>0</v>
      </c>
    </row>
    <row r="185" spans="1:7">
      <c r="A185">
        <v>1987</v>
      </c>
      <c r="B185" t="s">
        <v>310</v>
      </c>
      <c r="C185" t="s">
        <v>312</v>
      </c>
      <c r="D185" t="s">
        <v>16</v>
      </c>
      <c r="E185" t="s">
        <v>16</v>
      </c>
      <c r="F185" t="s">
        <v>16</v>
      </c>
      <c r="G185">
        <f t="shared" si="8"/>
        <v>0</v>
      </c>
    </row>
    <row r="186" spans="1:7">
      <c r="A186">
        <v>1988</v>
      </c>
      <c r="B186" t="s">
        <v>310</v>
      </c>
      <c r="C186" t="s">
        <v>312</v>
      </c>
      <c r="D186" t="s">
        <v>16</v>
      </c>
      <c r="E186" t="s">
        <v>16</v>
      </c>
      <c r="F186" t="s">
        <v>16</v>
      </c>
      <c r="G186">
        <f t="shared" si="8"/>
        <v>0</v>
      </c>
    </row>
    <row r="187" spans="1:7">
      <c r="A187">
        <v>1988</v>
      </c>
      <c r="B187" t="s">
        <v>310</v>
      </c>
      <c r="C187" t="s">
        <v>312</v>
      </c>
      <c r="D187" t="s">
        <v>16</v>
      </c>
      <c r="E187" t="s">
        <v>16</v>
      </c>
      <c r="F187" t="s">
        <v>16</v>
      </c>
      <c r="G187">
        <f t="shared" si="8"/>
        <v>0</v>
      </c>
    </row>
    <row r="188" spans="1:7">
      <c r="A188">
        <v>1988</v>
      </c>
      <c r="B188" t="s">
        <v>310</v>
      </c>
      <c r="C188" t="s">
        <v>312</v>
      </c>
      <c r="D188" t="s">
        <v>16</v>
      </c>
      <c r="E188" t="s">
        <v>16</v>
      </c>
      <c r="F188" t="s">
        <v>16</v>
      </c>
      <c r="G188">
        <f t="shared" si="8"/>
        <v>0</v>
      </c>
    </row>
    <row r="189" spans="1:7">
      <c r="A189">
        <v>1988</v>
      </c>
      <c r="B189" t="s">
        <v>310</v>
      </c>
      <c r="C189" t="s">
        <v>312</v>
      </c>
      <c r="D189" t="s">
        <v>16</v>
      </c>
      <c r="E189" t="s">
        <v>16</v>
      </c>
      <c r="F189" t="s">
        <v>16</v>
      </c>
      <c r="G189">
        <f t="shared" si="8"/>
        <v>0</v>
      </c>
    </row>
    <row r="190" spans="1:7">
      <c r="A190">
        <v>1983</v>
      </c>
      <c r="B190" t="s">
        <v>310</v>
      </c>
      <c r="C190" t="s">
        <v>313</v>
      </c>
      <c r="D190" t="s">
        <v>16</v>
      </c>
      <c r="E190" t="s">
        <v>16</v>
      </c>
      <c r="F190" t="s">
        <v>16</v>
      </c>
      <c r="G190">
        <f t="shared" si="8"/>
        <v>0</v>
      </c>
    </row>
    <row r="191" spans="1:7">
      <c r="A191">
        <v>1983</v>
      </c>
      <c r="B191" t="s">
        <v>310</v>
      </c>
      <c r="C191" t="s">
        <v>314</v>
      </c>
      <c r="D191" t="s">
        <v>16</v>
      </c>
      <c r="E191" t="s">
        <v>16</v>
      </c>
      <c r="F191" t="s">
        <v>16</v>
      </c>
      <c r="G191">
        <f t="shared" si="8"/>
        <v>0</v>
      </c>
    </row>
    <row r="192" spans="1:7">
      <c r="A192">
        <v>1983</v>
      </c>
      <c r="B192" t="s">
        <v>310</v>
      </c>
      <c r="C192" t="s">
        <v>314</v>
      </c>
      <c r="D192" t="s">
        <v>16</v>
      </c>
      <c r="E192" t="s">
        <v>16</v>
      </c>
      <c r="F192" t="s">
        <v>16</v>
      </c>
      <c r="G192">
        <f t="shared" si="8"/>
        <v>0</v>
      </c>
    </row>
    <row r="193" spans="1:7">
      <c r="A193">
        <v>1983</v>
      </c>
      <c r="B193" t="s">
        <v>310</v>
      </c>
      <c r="C193" t="s">
        <v>314</v>
      </c>
      <c r="D193" t="s">
        <v>16</v>
      </c>
      <c r="E193" t="s">
        <v>16</v>
      </c>
      <c r="F193" t="s">
        <v>16</v>
      </c>
      <c r="G193">
        <f t="shared" si="8"/>
        <v>0</v>
      </c>
    </row>
    <row r="194" spans="1:7">
      <c r="A194">
        <v>1983</v>
      </c>
      <c r="B194" t="s">
        <v>310</v>
      </c>
      <c r="C194" t="s">
        <v>314</v>
      </c>
      <c r="D194" t="s">
        <v>16</v>
      </c>
      <c r="E194" t="s">
        <v>16</v>
      </c>
      <c r="F194" t="s">
        <v>16</v>
      </c>
      <c r="G194">
        <f t="shared" si="8"/>
        <v>0</v>
      </c>
    </row>
    <row r="195" spans="1:7">
      <c r="A195">
        <v>1983</v>
      </c>
      <c r="B195" t="s">
        <v>310</v>
      </c>
      <c r="C195" t="s">
        <v>314</v>
      </c>
      <c r="D195" t="s">
        <v>16</v>
      </c>
      <c r="E195" t="s">
        <v>16</v>
      </c>
      <c r="F195" t="s">
        <v>16</v>
      </c>
      <c r="G195">
        <f t="shared" ref="G195:G258" si="9">SUM(D195:F195)</f>
        <v>0</v>
      </c>
    </row>
    <row r="196" spans="1:7">
      <c r="A196">
        <v>1983</v>
      </c>
      <c r="B196" t="s">
        <v>310</v>
      </c>
      <c r="C196" t="s">
        <v>314</v>
      </c>
      <c r="D196" t="s">
        <v>16</v>
      </c>
      <c r="E196" t="s">
        <v>16</v>
      </c>
      <c r="F196" t="s">
        <v>16</v>
      </c>
      <c r="G196">
        <f t="shared" si="9"/>
        <v>0</v>
      </c>
    </row>
    <row r="197" spans="1:7">
      <c r="A197">
        <v>1983</v>
      </c>
      <c r="B197" t="s">
        <v>310</v>
      </c>
      <c r="C197" t="s">
        <v>314</v>
      </c>
      <c r="D197" t="s">
        <v>16</v>
      </c>
      <c r="E197" t="s">
        <v>16</v>
      </c>
      <c r="F197" t="s">
        <v>16</v>
      </c>
      <c r="G197">
        <f t="shared" si="9"/>
        <v>0</v>
      </c>
    </row>
    <row r="198" spans="1:7">
      <c r="A198">
        <v>1984</v>
      </c>
      <c r="B198" t="s">
        <v>310</v>
      </c>
      <c r="C198" t="s">
        <v>314</v>
      </c>
      <c r="D198" t="s">
        <v>16</v>
      </c>
      <c r="E198" t="s">
        <v>16</v>
      </c>
      <c r="F198" t="s">
        <v>16</v>
      </c>
      <c r="G198">
        <f t="shared" si="9"/>
        <v>0</v>
      </c>
    </row>
    <row r="199" spans="1:7">
      <c r="A199">
        <v>1984</v>
      </c>
      <c r="B199" t="s">
        <v>310</v>
      </c>
      <c r="C199" t="s">
        <v>314</v>
      </c>
      <c r="D199" t="s">
        <v>16</v>
      </c>
      <c r="E199" t="s">
        <v>16</v>
      </c>
      <c r="F199" t="s">
        <v>16</v>
      </c>
      <c r="G199">
        <f t="shared" si="9"/>
        <v>0</v>
      </c>
    </row>
    <row r="200" spans="1:7">
      <c r="A200">
        <v>1984</v>
      </c>
      <c r="B200" t="s">
        <v>310</v>
      </c>
      <c r="C200" t="s">
        <v>314</v>
      </c>
      <c r="D200" t="s">
        <v>16</v>
      </c>
      <c r="E200" t="s">
        <v>16</v>
      </c>
      <c r="F200" t="s">
        <v>16</v>
      </c>
      <c r="G200">
        <f t="shared" si="9"/>
        <v>0</v>
      </c>
    </row>
    <row r="201" spans="1:7">
      <c r="A201">
        <v>1985</v>
      </c>
      <c r="B201" t="s">
        <v>310</v>
      </c>
      <c r="C201" t="s">
        <v>314</v>
      </c>
      <c r="D201" t="s">
        <v>16</v>
      </c>
      <c r="E201" t="s">
        <v>16</v>
      </c>
      <c r="F201" t="s">
        <v>16</v>
      </c>
      <c r="G201">
        <f t="shared" si="9"/>
        <v>0</v>
      </c>
    </row>
    <row r="202" spans="1:7">
      <c r="A202">
        <v>1985</v>
      </c>
      <c r="B202" t="s">
        <v>310</v>
      </c>
      <c r="C202" t="s">
        <v>314</v>
      </c>
      <c r="D202" t="s">
        <v>16</v>
      </c>
      <c r="E202" t="s">
        <v>16</v>
      </c>
      <c r="F202" t="s">
        <v>16</v>
      </c>
      <c r="G202">
        <f t="shared" si="9"/>
        <v>0</v>
      </c>
    </row>
    <row r="203" spans="1:7">
      <c r="A203">
        <v>1985</v>
      </c>
      <c r="B203" t="s">
        <v>310</v>
      </c>
      <c r="C203" t="s">
        <v>314</v>
      </c>
      <c r="D203" t="s">
        <v>16</v>
      </c>
      <c r="E203" t="s">
        <v>16</v>
      </c>
      <c r="F203" t="s">
        <v>16</v>
      </c>
      <c r="G203">
        <f t="shared" si="9"/>
        <v>0</v>
      </c>
    </row>
    <row r="204" spans="1:7">
      <c r="A204">
        <v>1986</v>
      </c>
      <c r="B204" t="s">
        <v>310</v>
      </c>
      <c r="C204" t="s">
        <v>314</v>
      </c>
      <c r="D204" t="s">
        <v>16</v>
      </c>
      <c r="E204" t="s">
        <v>16</v>
      </c>
      <c r="F204" t="s">
        <v>16</v>
      </c>
      <c r="G204">
        <f t="shared" si="9"/>
        <v>0</v>
      </c>
    </row>
    <row r="205" spans="1:7">
      <c r="A205">
        <v>1986</v>
      </c>
      <c r="B205" t="s">
        <v>310</v>
      </c>
      <c r="C205" t="s">
        <v>314</v>
      </c>
      <c r="D205" t="s">
        <v>16</v>
      </c>
      <c r="E205" t="s">
        <v>16</v>
      </c>
      <c r="F205" t="s">
        <v>16</v>
      </c>
      <c r="G205">
        <f t="shared" si="9"/>
        <v>0</v>
      </c>
    </row>
    <row r="206" spans="1:7">
      <c r="A206">
        <v>1986</v>
      </c>
      <c r="B206" t="s">
        <v>310</v>
      </c>
      <c r="C206" t="s">
        <v>314</v>
      </c>
      <c r="D206" t="s">
        <v>16</v>
      </c>
      <c r="E206" t="s">
        <v>16</v>
      </c>
      <c r="F206" t="s">
        <v>16</v>
      </c>
      <c r="G206">
        <f t="shared" si="9"/>
        <v>0</v>
      </c>
    </row>
    <row r="207" spans="1:7">
      <c r="A207">
        <v>1987</v>
      </c>
      <c r="B207" t="s">
        <v>310</v>
      </c>
      <c r="C207" t="s">
        <v>314</v>
      </c>
      <c r="D207" t="s">
        <v>16</v>
      </c>
      <c r="E207" t="s">
        <v>16</v>
      </c>
      <c r="F207" t="s">
        <v>16</v>
      </c>
      <c r="G207">
        <f t="shared" si="9"/>
        <v>0</v>
      </c>
    </row>
    <row r="208" spans="1:7">
      <c r="A208">
        <v>1987</v>
      </c>
      <c r="B208" t="s">
        <v>310</v>
      </c>
      <c r="C208" t="s">
        <v>314</v>
      </c>
      <c r="D208" t="s">
        <v>16</v>
      </c>
      <c r="E208" t="s">
        <v>16</v>
      </c>
      <c r="F208" t="s">
        <v>16</v>
      </c>
      <c r="G208">
        <f t="shared" si="9"/>
        <v>0</v>
      </c>
    </row>
    <row r="209" spans="1:7">
      <c r="A209">
        <v>1987</v>
      </c>
      <c r="B209" t="s">
        <v>310</v>
      </c>
      <c r="C209" t="s">
        <v>314</v>
      </c>
      <c r="D209" t="s">
        <v>16</v>
      </c>
      <c r="E209" t="s">
        <v>16</v>
      </c>
      <c r="F209" t="s">
        <v>16</v>
      </c>
      <c r="G209">
        <f t="shared" si="9"/>
        <v>0</v>
      </c>
    </row>
    <row r="210" spans="1:7">
      <c r="A210">
        <v>1988</v>
      </c>
      <c r="B210" t="s">
        <v>310</v>
      </c>
      <c r="C210" t="s">
        <v>314</v>
      </c>
      <c r="D210" t="s">
        <v>16</v>
      </c>
      <c r="E210" t="s">
        <v>16</v>
      </c>
      <c r="F210" t="s">
        <v>16</v>
      </c>
      <c r="G210">
        <f t="shared" si="9"/>
        <v>0</v>
      </c>
    </row>
    <row r="211" spans="1:7">
      <c r="A211">
        <v>1988</v>
      </c>
      <c r="B211" t="s">
        <v>310</v>
      </c>
      <c r="C211" t="s">
        <v>314</v>
      </c>
      <c r="D211" t="s">
        <v>16</v>
      </c>
      <c r="E211" t="s">
        <v>16</v>
      </c>
      <c r="F211" t="s">
        <v>16</v>
      </c>
      <c r="G211">
        <f t="shared" si="9"/>
        <v>0</v>
      </c>
    </row>
    <row r="212" spans="1:7">
      <c r="A212">
        <v>1988</v>
      </c>
      <c r="B212" t="s">
        <v>310</v>
      </c>
      <c r="C212" t="s">
        <v>314</v>
      </c>
      <c r="D212" t="s">
        <v>16</v>
      </c>
      <c r="E212" t="s">
        <v>16</v>
      </c>
      <c r="F212" t="s">
        <v>16</v>
      </c>
      <c r="G212">
        <f t="shared" si="9"/>
        <v>0</v>
      </c>
    </row>
    <row r="213" spans="1:7">
      <c r="A213">
        <v>1988</v>
      </c>
      <c r="B213" t="s">
        <v>310</v>
      </c>
      <c r="C213" t="s">
        <v>314</v>
      </c>
      <c r="D213" t="s">
        <v>16</v>
      </c>
      <c r="E213" t="s">
        <v>16</v>
      </c>
      <c r="F213" t="s">
        <v>16</v>
      </c>
      <c r="G213">
        <f t="shared" si="9"/>
        <v>0</v>
      </c>
    </row>
    <row r="214" spans="1:7">
      <c r="A214">
        <v>1988</v>
      </c>
      <c r="B214" t="s">
        <v>310</v>
      </c>
      <c r="C214" t="s">
        <v>314</v>
      </c>
      <c r="D214" t="s">
        <v>16</v>
      </c>
      <c r="E214" t="s">
        <v>16</v>
      </c>
      <c r="F214" t="s">
        <v>16</v>
      </c>
      <c r="G214">
        <f t="shared" si="9"/>
        <v>0</v>
      </c>
    </row>
    <row r="215" spans="1:7">
      <c r="A215">
        <v>1988</v>
      </c>
      <c r="B215" t="s">
        <v>310</v>
      </c>
      <c r="C215" t="s">
        <v>314</v>
      </c>
      <c r="D215" t="s">
        <v>16</v>
      </c>
      <c r="E215" t="s">
        <v>16</v>
      </c>
      <c r="F215" t="s">
        <v>16</v>
      </c>
      <c r="G215">
        <f t="shared" si="9"/>
        <v>0</v>
      </c>
    </row>
    <row r="216" spans="1:7">
      <c r="A216">
        <v>1989</v>
      </c>
      <c r="B216" t="s">
        <v>310</v>
      </c>
      <c r="C216" t="s">
        <v>314</v>
      </c>
      <c r="D216" t="s">
        <v>16</v>
      </c>
      <c r="E216" t="s">
        <v>16</v>
      </c>
      <c r="F216" t="s">
        <v>16</v>
      </c>
      <c r="G216">
        <f t="shared" si="9"/>
        <v>0</v>
      </c>
    </row>
    <row r="217" spans="1:7">
      <c r="A217">
        <v>1989</v>
      </c>
      <c r="B217" t="s">
        <v>310</v>
      </c>
      <c r="C217" t="s">
        <v>314</v>
      </c>
      <c r="D217" t="s">
        <v>16</v>
      </c>
      <c r="E217" t="s">
        <v>16</v>
      </c>
      <c r="F217" t="s">
        <v>16</v>
      </c>
      <c r="G217">
        <f t="shared" si="9"/>
        <v>0</v>
      </c>
    </row>
    <row r="218" spans="1:7">
      <c r="A218">
        <v>1989</v>
      </c>
      <c r="B218" t="s">
        <v>310</v>
      </c>
      <c r="C218" t="s">
        <v>314</v>
      </c>
      <c r="D218" t="s">
        <v>16</v>
      </c>
      <c r="E218" t="s">
        <v>16</v>
      </c>
      <c r="F218" t="s">
        <v>16</v>
      </c>
      <c r="G218">
        <f t="shared" si="9"/>
        <v>0</v>
      </c>
    </row>
    <row r="219" spans="1:7">
      <c r="A219">
        <v>1989</v>
      </c>
      <c r="B219" t="s">
        <v>310</v>
      </c>
      <c r="C219" t="s">
        <v>314</v>
      </c>
      <c r="D219" t="s">
        <v>16</v>
      </c>
      <c r="E219" t="s">
        <v>16</v>
      </c>
      <c r="F219" t="s">
        <v>16</v>
      </c>
      <c r="G219">
        <f t="shared" si="9"/>
        <v>0</v>
      </c>
    </row>
    <row r="220" spans="1:7">
      <c r="A220">
        <v>1989</v>
      </c>
      <c r="B220" t="s">
        <v>310</v>
      </c>
      <c r="C220" t="s">
        <v>314</v>
      </c>
      <c r="D220" t="s">
        <v>16</v>
      </c>
      <c r="E220" t="s">
        <v>16</v>
      </c>
      <c r="F220" t="s">
        <v>16</v>
      </c>
      <c r="G220">
        <f t="shared" si="9"/>
        <v>0</v>
      </c>
    </row>
    <row r="221" spans="1:7">
      <c r="A221">
        <v>1989</v>
      </c>
      <c r="B221" t="s">
        <v>310</v>
      </c>
      <c r="C221" t="s">
        <v>314</v>
      </c>
      <c r="D221" t="s">
        <v>16</v>
      </c>
      <c r="E221" t="s">
        <v>16</v>
      </c>
      <c r="F221" t="s">
        <v>16</v>
      </c>
      <c r="G221">
        <f t="shared" si="9"/>
        <v>0</v>
      </c>
    </row>
    <row r="222" spans="1:7">
      <c r="A222">
        <v>1989</v>
      </c>
      <c r="B222" t="s">
        <v>310</v>
      </c>
      <c r="C222" t="s">
        <v>314</v>
      </c>
      <c r="D222" t="s">
        <v>16</v>
      </c>
      <c r="E222" t="s">
        <v>16</v>
      </c>
      <c r="F222" t="s">
        <v>16</v>
      </c>
      <c r="G222">
        <f t="shared" si="9"/>
        <v>0</v>
      </c>
    </row>
    <row r="223" spans="1:7">
      <c r="A223">
        <v>1990</v>
      </c>
      <c r="B223" t="s">
        <v>310</v>
      </c>
      <c r="C223" t="s">
        <v>314</v>
      </c>
      <c r="D223" t="s">
        <v>16</v>
      </c>
      <c r="E223" t="s">
        <v>16</v>
      </c>
      <c r="F223" t="s">
        <v>16</v>
      </c>
      <c r="G223">
        <f t="shared" si="9"/>
        <v>0</v>
      </c>
    </row>
    <row r="224" spans="1:7">
      <c r="A224">
        <v>1990</v>
      </c>
      <c r="B224" t="s">
        <v>310</v>
      </c>
      <c r="C224" t="s">
        <v>314</v>
      </c>
      <c r="D224" t="s">
        <v>16</v>
      </c>
      <c r="E224" t="s">
        <v>16</v>
      </c>
      <c r="F224" t="s">
        <v>16</v>
      </c>
      <c r="G224">
        <f t="shared" si="9"/>
        <v>0</v>
      </c>
    </row>
    <row r="225" spans="1:7">
      <c r="A225">
        <v>1990</v>
      </c>
      <c r="B225" t="s">
        <v>310</v>
      </c>
      <c r="C225" t="s">
        <v>314</v>
      </c>
      <c r="D225" t="s">
        <v>16</v>
      </c>
      <c r="E225" t="s">
        <v>16</v>
      </c>
      <c r="F225" t="s">
        <v>16</v>
      </c>
      <c r="G225">
        <f t="shared" si="9"/>
        <v>0</v>
      </c>
    </row>
    <row r="226" spans="1:7">
      <c r="A226">
        <v>1991</v>
      </c>
      <c r="B226" t="s">
        <v>310</v>
      </c>
      <c r="C226" t="s">
        <v>314</v>
      </c>
      <c r="D226" t="s">
        <v>16</v>
      </c>
      <c r="E226" t="s">
        <v>16</v>
      </c>
      <c r="F226" t="s">
        <v>16</v>
      </c>
      <c r="G226">
        <f t="shared" si="9"/>
        <v>0</v>
      </c>
    </row>
    <row r="227" spans="1:7">
      <c r="A227">
        <v>1985</v>
      </c>
      <c r="B227" t="s">
        <v>310</v>
      </c>
      <c r="C227" t="s">
        <v>315</v>
      </c>
      <c r="D227" t="s">
        <v>16</v>
      </c>
      <c r="E227" t="s">
        <v>16</v>
      </c>
      <c r="F227" t="s">
        <v>16</v>
      </c>
      <c r="G227">
        <f t="shared" si="9"/>
        <v>0</v>
      </c>
    </row>
    <row r="228" spans="1:7">
      <c r="A228">
        <v>1983</v>
      </c>
      <c r="B228" t="s">
        <v>310</v>
      </c>
      <c r="C228" t="s">
        <v>316</v>
      </c>
      <c r="D228" t="s">
        <v>16</v>
      </c>
      <c r="E228" t="s">
        <v>16</v>
      </c>
      <c r="F228" t="s">
        <v>16</v>
      </c>
      <c r="G228">
        <f t="shared" si="9"/>
        <v>0</v>
      </c>
    </row>
    <row r="229" spans="1:7">
      <c r="A229">
        <v>1984</v>
      </c>
      <c r="B229" t="s">
        <v>310</v>
      </c>
      <c r="C229" t="s">
        <v>316</v>
      </c>
      <c r="D229" t="s">
        <v>16</v>
      </c>
      <c r="E229" t="s">
        <v>16</v>
      </c>
      <c r="F229" t="s">
        <v>16</v>
      </c>
      <c r="G229">
        <f t="shared" si="9"/>
        <v>0</v>
      </c>
    </row>
    <row r="230" spans="1:7">
      <c r="A230">
        <v>1986</v>
      </c>
      <c r="B230" t="s">
        <v>310</v>
      </c>
      <c r="C230" t="s">
        <v>316</v>
      </c>
      <c r="D230" t="s">
        <v>16</v>
      </c>
      <c r="E230" t="s">
        <v>16</v>
      </c>
      <c r="F230" t="s">
        <v>16</v>
      </c>
      <c r="G230">
        <f t="shared" si="9"/>
        <v>0</v>
      </c>
    </row>
    <row r="231" spans="1:7">
      <c r="A231">
        <v>1983</v>
      </c>
      <c r="B231" t="s">
        <v>310</v>
      </c>
      <c r="C231" t="s">
        <v>317</v>
      </c>
      <c r="D231" t="s">
        <v>16</v>
      </c>
      <c r="E231" t="s">
        <v>16</v>
      </c>
      <c r="F231" t="s">
        <v>16</v>
      </c>
      <c r="G231">
        <f t="shared" si="9"/>
        <v>0</v>
      </c>
    </row>
    <row r="232" spans="1:7">
      <c r="A232">
        <v>1984</v>
      </c>
      <c r="B232" t="s">
        <v>310</v>
      </c>
      <c r="C232" t="s">
        <v>317</v>
      </c>
      <c r="D232" t="s">
        <v>16</v>
      </c>
      <c r="E232" t="s">
        <v>16</v>
      </c>
      <c r="F232" t="s">
        <v>16</v>
      </c>
      <c r="G232">
        <f t="shared" si="9"/>
        <v>0</v>
      </c>
    </row>
    <row r="233" spans="1:7">
      <c r="A233">
        <v>1986</v>
      </c>
      <c r="B233" t="s">
        <v>310</v>
      </c>
      <c r="C233" t="s">
        <v>317</v>
      </c>
      <c r="D233" t="s">
        <v>16</v>
      </c>
      <c r="E233" t="s">
        <v>16</v>
      </c>
      <c r="F233" t="s">
        <v>16</v>
      </c>
      <c r="G233">
        <f t="shared" si="9"/>
        <v>0</v>
      </c>
    </row>
    <row r="234" spans="1:7">
      <c r="A234">
        <v>1987</v>
      </c>
      <c r="B234" t="s">
        <v>310</v>
      </c>
      <c r="C234" t="s">
        <v>317</v>
      </c>
      <c r="D234" t="s">
        <v>16</v>
      </c>
      <c r="E234" t="s">
        <v>16</v>
      </c>
      <c r="F234" t="s">
        <v>16</v>
      </c>
      <c r="G234">
        <f t="shared" si="9"/>
        <v>0</v>
      </c>
    </row>
    <row r="235" spans="1:7">
      <c r="A235">
        <v>1989</v>
      </c>
      <c r="B235" t="s">
        <v>310</v>
      </c>
      <c r="C235" t="s">
        <v>317</v>
      </c>
      <c r="D235" t="s">
        <v>16</v>
      </c>
      <c r="E235" t="s">
        <v>16</v>
      </c>
      <c r="F235" t="s">
        <v>16</v>
      </c>
      <c r="G235">
        <f t="shared" si="9"/>
        <v>0</v>
      </c>
    </row>
    <row r="236" spans="1:7">
      <c r="A236">
        <v>1985</v>
      </c>
      <c r="B236" t="s">
        <v>310</v>
      </c>
      <c r="C236" t="s">
        <v>318</v>
      </c>
      <c r="D236" t="s">
        <v>16</v>
      </c>
      <c r="E236" t="s">
        <v>16</v>
      </c>
      <c r="F236" t="s">
        <v>16</v>
      </c>
      <c r="G236">
        <f t="shared" si="9"/>
        <v>0</v>
      </c>
    </row>
    <row r="237" spans="1:7">
      <c r="A237">
        <v>1986</v>
      </c>
      <c r="B237" t="s">
        <v>310</v>
      </c>
      <c r="C237" t="s">
        <v>318</v>
      </c>
      <c r="D237" t="s">
        <v>16</v>
      </c>
      <c r="E237" t="s">
        <v>16</v>
      </c>
      <c r="F237" t="s">
        <v>16</v>
      </c>
      <c r="G237">
        <f t="shared" si="9"/>
        <v>0</v>
      </c>
    </row>
    <row r="238" spans="1:7">
      <c r="A238">
        <v>1986</v>
      </c>
      <c r="B238" t="s">
        <v>310</v>
      </c>
      <c r="C238" t="s">
        <v>318</v>
      </c>
      <c r="D238" t="s">
        <v>16</v>
      </c>
      <c r="E238" t="s">
        <v>16</v>
      </c>
      <c r="F238" t="s">
        <v>16</v>
      </c>
      <c r="G238">
        <f t="shared" si="9"/>
        <v>0</v>
      </c>
    </row>
    <row r="239" spans="1:7">
      <c r="A239">
        <v>1987</v>
      </c>
      <c r="B239" t="s">
        <v>310</v>
      </c>
      <c r="C239" t="s">
        <v>318</v>
      </c>
      <c r="D239" t="s">
        <v>16</v>
      </c>
      <c r="E239" t="s">
        <v>16</v>
      </c>
      <c r="F239" t="s">
        <v>16</v>
      </c>
      <c r="G239">
        <f t="shared" si="9"/>
        <v>0</v>
      </c>
    </row>
    <row r="240" spans="1:7">
      <c r="A240">
        <v>1990</v>
      </c>
      <c r="B240" t="s">
        <v>310</v>
      </c>
      <c r="C240" t="s">
        <v>318</v>
      </c>
      <c r="D240" t="s">
        <v>16</v>
      </c>
      <c r="E240" t="s">
        <v>16</v>
      </c>
      <c r="F240" t="s">
        <v>16</v>
      </c>
      <c r="G240">
        <f t="shared" si="9"/>
        <v>0</v>
      </c>
    </row>
    <row r="241" spans="1:7">
      <c r="A241">
        <v>1990</v>
      </c>
      <c r="B241" t="s">
        <v>310</v>
      </c>
      <c r="C241" t="s">
        <v>318</v>
      </c>
      <c r="D241" t="s">
        <v>16</v>
      </c>
      <c r="E241" t="s">
        <v>16</v>
      </c>
      <c r="F241" t="s">
        <v>16</v>
      </c>
      <c r="G241">
        <f t="shared" si="9"/>
        <v>0</v>
      </c>
    </row>
    <row r="242" spans="1:7">
      <c r="A242">
        <v>1983</v>
      </c>
      <c r="B242" t="s">
        <v>310</v>
      </c>
      <c r="C242" t="s">
        <v>319</v>
      </c>
      <c r="D242" t="s">
        <v>16</v>
      </c>
      <c r="E242" t="s">
        <v>16</v>
      </c>
      <c r="F242" t="s">
        <v>16</v>
      </c>
      <c r="G242">
        <f t="shared" si="9"/>
        <v>0</v>
      </c>
    </row>
    <row r="243" spans="1:7">
      <c r="A243">
        <v>1984</v>
      </c>
      <c r="B243" t="s">
        <v>310</v>
      </c>
      <c r="C243" t="s">
        <v>319</v>
      </c>
      <c r="D243" t="s">
        <v>16</v>
      </c>
      <c r="E243" t="s">
        <v>16</v>
      </c>
      <c r="F243" t="s">
        <v>16</v>
      </c>
      <c r="G243">
        <f t="shared" si="9"/>
        <v>0</v>
      </c>
    </row>
    <row r="244" spans="1:7">
      <c r="A244">
        <v>1984</v>
      </c>
      <c r="B244" t="s">
        <v>310</v>
      </c>
      <c r="C244" t="s">
        <v>319</v>
      </c>
      <c r="D244" t="s">
        <v>16</v>
      </c>
      <c r="E244" t="s">
        <v>16</v>
      </c>
      <c r="F244" t="s">
        <v>16</v>
      </c>
      <c r="G244">
        <f t="shared" si="9"/>
        <v>0</v>
      </c>
    </row>
    <row r="245" spans="1:7">
      <c r="A245">
        <v>1985</v>
      </c>
      <c r="B245" t="s">
        <v>310</v>
      </c>
      <c r="C245" t="s">
        <v>319</v>
      </c>
      <c r="D245" t="s">
        <v>16</v>
      </c>
      <c r="E245" t="s">
        <v>16</v>
      </c>
      <c r="F245" t="s">
        <v>16</v>
      </c>
      <c r="G245">
        <f t="shared" si="9"/>
        <v>0</v>
      </c>
    </row>
    <row r="246" spans="1:7">
      <c r="A246">
        <v>1986</v>
      </c>
      <c r="B246" t="s">
        <v>310</v>
      </c>
      <c r="C246" t="s">
        <v>103</v>
      </c>
      <c r="D246" t="s">
        <v>16</v>
      </c>
      <c r="E246" t="s">
        <v>16</v>
      </c>
      <c r="F246" t="s">
        <v>16</v>
      </c>
      <c r="G246">
        <f t="shared" si="9"/>
        <v>0</v>
      </c>
    </row>
    <row r="247" spans="1:7">
      <c r="A247">
        <v>1987</v>
      </c>
      <c r="B247" t="s">
        <v>310</v>
      </c>
      <c r="C247" t="s">
        <v>103</v>
      </c>
      <c r="D247" t="s">
        <v>16</v>
      </c>
      <c r="E247" t="s">
        <v>16</v>
      </c>
      <c r="F247" t="s">
        <v>16</v>
      </c>
      <c r="G247">
        <f t="shared" si="9"/>
        <v>0</v>
      </c>
    </row>
    <row r="248" spans="1:7">
      <c r="A248">
        <v>1988</v>
      </c>
      <c r="B248" t="s">
        <v>310</v>
      </c>
      <c r="C248" t="s">
        <v>103</v>
      </c>
      <c r="D248" t="s">
        <v>16</v>
      </c>
      <c r="E248" t="s">
        <v>16</v>
      </c>
      <c r="F248" t="s">
        <v>16</v>
      </c>
      <c r="G248">
        <f t="shared" si="9"/>
        <v>0</v>
      </c>
    </row>
    <row r="249" spans="1:7">
      <c r="A249">
        <v>1989</v>
      </c>
      <c r="B249" t="s">
        <v>310</v>
      </c>
      <c r="C249" t="s">
        <v>103</v>
      </c>
      <c r="D249" t="s">
        <v>16</v>
      </c>
      <c r="E249" t="s">
        <v>16</v>
      </c>
      <c r="F249" t="s">
        <v>16</v>
      </c>
      <c r="G249">
        <f t="shared" si="9"/>
        <v>0</v>
      </c>
    </row>
    <row r="250" spans="1:7">
      <c r="A250">
        <v>1990</v>
      </c>
      <c r="B250" t="s">
        <v>310</v>
      </c>
      <c r="C250" t="s">
        <v>103</v>
      </c>
      <c r="D250" t="s">
        <v>16</v>
      </c>
      <c r="E250" t="s">
        <v>16</v>
      </c>
      <c r="F250" t="s">
        <v>16</v>
      </c>
      <c r="G250">
        <f t="shared" si="9"/>
        <v>0</v>
      </c>
    </row>
    <row r="251" spans="1:7">
      <c r="A251">
        <v>1984</v>
      </c>
      <c r="B251" t="s">
        <v>310</v>
      </c>
      <c r="C251" t="s">
        <v>299</v>
      </c>
      <c r="D251" t="s">
        <v>16</v>
      </c>
      <c r="E251" t="s">
        <v>16</v>
      </c>
      <c r="F251" t="s">
        <v>16</v>
      </c>
      <c r="G251">
        <f t="shared" si="9"/>
        <v>0</v>
      </c>
    </row>
    <row r="252" spans="1:7">
      <c r="A252">
        <v>1984</v>
      </c>
      <c r="B252" t="s">
        <v>310</v>
      </c>
      <c r="C252" t="s">
        <v>299</v>
      </c>
      <c r="D252" t="s">
        <v>16</v>
      </c>
      <c r="E252" t="s">
        <v>16</v>
      </c>
      <c r="F252" t="s">
        <v>16</v>
      </c>
      <c r="G252">
        <f t="shared" si="9"/>
        <v>0</v>
      </c>
    </row>
    <row r="253" spans="1:7">
      <c r="A253">
        <v>1985</v>
      </c>
      <c r="B253" t="s">
        <v>310</v>
      </c>
      <c r="C253" t="s">
        <v>299</v>
      </c>
      <c r="D253" t="s">
        <v>16</v>
      </c>
      <c r="E253" t="s">
        <v>16</v>
      </c>
      <c r="F253" t="s">
        <v>16</v>
      </c>
      <c r="G253">
        <f t="shared" si="9"/>
        <v>0</v>
      </c>
    </row>
    <row r="254" spans="1:7">
      <c r="A254">
        <v>1985</v>
      </c>
      <c r="B254" t="s">
        <v>310</v>
      </c>
      <c r="C254" t="s">
        <v>299</v>
      </c>
      <c r="D254" t="s">
        <v>16</v>
      </c>
      <c r="E254" t="s">
        <v>16</v>
      </c>
      <c r="F254" t="s">
        <v>16</v>
      </c>
      <c r="G254">
        <f t="shared" si="9"/>
        <v>0</v>
      </c>
    </row>
    <row r="255" spans="1:7">
      <c r="A255">
        <v>1985</v>
      </c>
      <c r="B255" t="s">
        <v>310</v>
      </c>
      <c r="C255" t="s">
        <v>299</v>
      </c>
      <c r="D255" t="s">
        <v>16</v>
      </c>
      <c r="E255" t="s">
        <v>16</v>
      </c>
      <c r="F255" t="s">
        <v>16</v>
      </c>
      <c r="G255">
        <f t="shared" si="9"/>
        <v>0</v>
      </c>
    </row>
    <row r="256" spans="1:7">
      <c r="A256">
        <v>1986</v>
      </c>
      <c r="B256" t="s">
        <v>310</v>
      </c>
      <c r="C256" t="s">
        <v>299</v>
      </c>
      <c r="D256" t="s">
        <v>16</v>
      </c>
      <c r="E256" t="s">
        <v>16</v>
      </c>
      <c r="F256" t="s">
        <v>16</v>
      </c>
      <c r="G256">
        <f t="shared" si="9"/>
        <v>0</v>
      </c>
    </row>
    <row r="257" spans="1:7">
      <c r="A257">
        <v>1987</v>
      </c>
      <c r="B257" t="s">
        <v>310</v>
      </c>
      <c r="C257" t="s">
        <v>299</v>
      </c>
      <c r="D257" t="s">
        <v>16</v>
      </c>
      <c r="E257" t="s">
        <v>16</v>
      </c>
      <c r="F257" t="s">
        <v>16</v>
      </c>
      <c r="G257">
        <f t="shared" si="9"/>
        <v>0</v>
      </c>
    </row>
    <row r="258" spans="1:7">
      <c r="A258">
        <v>1987</v>
      </c>
      <c r="B258" t="s">
        <v>310</v>
      </c>
      <c r="C258" t="s">
        <v>299</v>
      </c>
      <c r="D258" t="s">
        <v>16</v>
      </c>
      <c r="E258" t="s">
        <v>16</v>
      </c>
      <c r="F258" t="s">
        <v>16</v>
      </c>
      <c r="G258">
        <f t="shared" si="9"/>
        <v>0</v>
      </c>
    </row>
    <row r="259" spans="1:7">
      <c r="A259">
        <v>1987</v>
      </c>
      <c r="B259" t="s">
        <v>310</v>
      </c>
      <c r="C259" t="s">
        <v>299</v>
      </c>
      <c r="D259" t="s">
        <v>16</v>
      </c>
      <c r="E259" t="s">
        <v>16</v>
      </c>
      <c r="F259" t="s">
        <v>16</v>
      </c>
      <c r="G259">
        <f t="shared" ref="G259:G322" si="10">SUM(D259:F259)</f>
        <v>0</v>
      </c>
    </row>
    <row r="260" spans="1:7">
      <c r="A260">
        <v>1987</v>
      </c>
      <c r="B260" t="s">
        <v>310</v>
      </c>
      <c r="C260" t="s">
        <v>299</v>
      </c>
      <c r="D260" t="s">
        <v>16</v>
      </c>
      <c r="E260" t="s">
        <v>16</v>
      </c>
      <c r="F260" t="s">
        <v>16</v>
      </c>
      <c r="G260">
        <f t="shared" si="10"/>
        <v>0</v>
      </c>
    </row>
    <row r="261" spans="1:7">
      <c r="A261">
        <v>1988</v>
      </c>
      <c r="B261" t="s">
        <v>310</v>
      </c>
      <c r="C261" t="s">
        <v>299</v>
      </c>
      <c r="D261" t="s">
        <v>16</v>
      </c>
      <c r="E261" t="s">
        <v>16</v>
      </c>
      <c r="F261" t="s">
        <v>16</v>
      </c>
      <c r="G261">
        <f t="shared" si="10"/>
        <v>0</v>
      </c>
    </row>
    <row r="262" spans="1:7">
      <c r="A262">
        <v>1988</v>
      </c>
      <c r="B262" t="s">
        <v>310</v>
      </c>
      <c r="C262" t="s">
        <v>299</v>
      </c>
      <c r="D262" t="s">
        <v>16</v>
      </c>
      <c r="E262" t="s">
        <v>16</v>
      </c>
      <c r="F262" t="s">
        <v>16</v>
      </c>
      <c r="G262">
        <f t="shared" si="10"/>
        <v>0</v>
      </c>
    </row>
    <row r="263" spans="1:7">
      <c r="A263">
        <v>1988</v>
      </c>
      <c r="B263" t="s">
        <v>310</v>
      </c>
      <c r="C263" t="s">
        <v>299</v>
      </c>
      <c r="D263" t="s">
        <v>16</v>
      </c>
      <c r="E263" t="s">
        <v>16</v>
      </c>
      <c r="F263" t="s">
        <v>16</v>
      </c>
      <c r="G263">
        <f t="shared" si="10"/>
        <v>0</v>
      </c>
    </row>
    <row r="264" spans="1:7">
      <c r="A264">
        <v>1988</v>
      </c>
      <c r="B264" t="s">
        <v>310</v>
      </c>
      <c r="C264" t="s">
        <v>299</v>
      </c>
      <c r="D264" t="s">
        <v>16</v>
      </c>
      <c r="E264" t="s">
        <v>16</v>
      </c>
      <c r="F264" t="s">
        <v>16</v>
      </c>
      <c r="G264">
        <f t="shared" si="10"/>
        <v>0</v>
      </c>
    </row>
    <row r="265" spans="1:7">
      <c r="A265">
        <v>1989</v>
      </c>
      <c r="B265" t="s">
        <v>310</v>
      </c>
      <c r="C265" t="s">
        <v>299</v>
      </c>
      <c r="D265" t="s">
        <v>16</v>
      </c>
      <c r="E265" t="s">
        <v>16</v>
      </c>
      <c r="F265" t="s">
        <v>16</v>
      </c>
      <c r="G265">
        <f t="shared" si="10"/>
        <v>0</v>
      </c>
    </row>
    <row r="266" spans="1:7">
      <c r="A266">
        <v>1989</v>
      </c>
      <c r="B266" t="s">
        <v>310</v>
      </c>
      <c r="C266" t="s">
        <v>299</v>
      </c>
      <c r="D266" t="s">
        <v>16</v>
      </c>
      <c r="E266" t="s">
        <v>16</v>
      </c>
      <c r="F266" t="s">
        <v>16</v>
      </c>
      <c r="G266">
        <f t="shared" si="10"/>
        <v>0</v>
      </c>
    </row>
    <row r="267" spans="1:7">
      <c r="A267">
        <v>1989</v>
      </c>
      <c r="B267" t="s">
        <v>310</v>
      </c>
      <c r="C267" t="s">
        <v>299</v>
      </c>
      <c r="D267" t="s">
        <v>16</v>
      </c>
      <c r="E267" t="s">
        <v>16</v>
      </c>
      <c r="F267" t="s">
        <v>16</v>
      </c>
      <c r="G267">
        <f t="shared" si="10"/>
        <v>0</v>
      </c>
    </row>
    <row r="268" spans="1:7">
      <c r="A268">
        <v>1989</v>
      </c>
      <c r="B268" t="s">
        <v>310</v>
      </c>
      <c r="C268" t="s">
        <v>299</v>
      </c>
      <c r="D268" t="s">
        <v>16</v>
      </c>
      <c r="E268" t="s">
        <v>16</v>
      </c>
      <c r="F268" t="s">
        <v>16</v>
      </c>
      <c r="G268">
        <f t="shared" si="10"/>
        <v>0</v>
      </c>
    </row>
    <row r="269" spans="1:7">
      <c r="A269">
        <v>1989</v>
      </c>
      <c r="B269" t="s">
        <v>310</v>
      </c>
      <c r="C269" t="s">
        <v>299</v>
      </c>
      <c r="D269" t="s">
        <v>16</v>
      </c>
      <c r="E269" t="s">
        <v>16</v>
      </c>
      <c r="F269" t="s">
        <v>16</v>
      </c>
      <c r="G269">
        <f t="shared" si="10"/>
        <v>0</v>
      </c>
    </row>
    <row r="270" spans="1:7">
      <c r="A270">
        <v>1989</v>
      </c>
      <c r="B270" t="s">
        <v>310</v>
      </c>
      <c r="C270" t="s">
        <v>299</v>
      </c>
      <c r="D270" t="s">
        <v>16</v>
      </c>
      <c r="E270" t="s">
        <v>16</v>
      </c>
      <c r="F270" t="s">
        <v>16</v>
      </c>
      <c r="G270">
        <f t="shared" si="10"/>
        <v>0</v>
      </c>
    </row>
    <row r="271" spans="1:7">
      <c r="A271">
        <v>1989</v>
      </c>
      <c r="B271" t="s">
        <v>310</v>
      </c>
      <c r="C271" t="s">
        <v>299</v>
      </c>
      <c r="D271" t="s">
        <v>16</v>
      </c>
      <c r="E271" t="s">
        <v>16</v>
      </c>
      <c r="F271" t="s">
        <v>16</v>
      </c>
      <c r="G271">
        <f t="shared" si="10"/>
        <v>0</v>
      </c>
    </row>
    <row r="272" spans="1:7">
      <c r="A272">
        <v>1989</v>
      </c>
      <c r="B272" t="s">
        <v>310</v>
      </c>
      <c r="C272" t="s">
        <v>299</v>
      </c>
      <c r="D272">
        <v>12050</v>
      </c>
      <c r="E272">
        <v>6794</v>
      </c>
      <c r="F272">
        <v>53582</v>
      </c>
      <c r="G272">
        <f t="shared" si="10"/>
        <v>72426</v>
      </c>
    </row>
    <row r="273" spans="1:7">
      <c r="A273">
        <v>1989</v>
      </c>
      <c r="B273" t="s">
        <v>310</v>
      </c>
      <c r="C273" t="s">
        <v>299</v>
      </c>
      <c r="D273" t="s">
        <v>16</v>
      </c>
      <c r="E273" t="s">
        <v>16</v>
      </c>
      <c r="F273" t="s">
        <v>16</v>
      </c>
      <c r="G273">
        <f t="shared" si="10"/>
        <v>0</v>
      </c>
    </row>
    <row r="274" spans="1:7">
      <c r="A274">
        <v>1990</v>
      </c>
      <c r="B274" t="s">
        <v>310</v>
      </c>
      <c r="C274" t="s">
        <v>299</v>
      </c>
      <c r="D274" t="s">
        <v>16</v>
      </c>
      <c r="E274" t="s">
        <v>16</v>
      </c>
      <c r="F274" t="s">
        <v>16</v>
      </c>
      <c r="G274">
        <f t="shared" si="10"/>
        <v>0</v>
      </c>
    </row>
    <row r="275" spans="1:7">
      <c r="A275">
        <v>1990</v>
      </c>
      <c r="B275" t="s">
        <v>310</v>
      </c>
      <c r="C275" t="s">
        <v>299</v>
      </c>
      <c r="D275" t="s">
        <v>16</v>
      </c>
      <c r="E275" t="s">
        <v>16</v>
      </c>
      <c r="F275" t="s">
        <v>16</v>
      </c>
      <c r="G275">
        <f t="shared" si="10"/>
        <v>0</v>
      </c>
    </row>
    <row r="276" spans="1:7">
      <c r="A276">
        <v>1990</v>
      </c>
      <c r="B276" t="s">
        <v>310</v>
      </c>
      <c r="C276" t="s">
        <v>299</v>
      </c>
      <c r="D276" t="s">
        <v>16</v>
      </c>
      <c r="E276" t="s">
        <v>16</v>
      </c>
      <c r="F276" t="s">
        <v>16</v>
      </c>
      <c r="G276">
        <f t="shared" si="10"/>
        <v>0</v>
      </c>
    </row>
    <row r="277" spans="1:7">
      <c r="A277">
        <v>1990</v>
      </c>
      <c r="B277" t="s">
        <v>310</v>
      </c>
      <c r="C277" t="s">
        <v>299</v>
      </c>
      <c r="D277" t="s">
        <v>16</v>
      </c>
      <c r="E277" t="s">
        <v>16</v>
      </c>
      <c r="F277" t="s">
        <v>16</v>
      </c>
      <c r="G277">
        <f t="shared" si="10"/>
        <v>0</v>
      </c>
    </row>
    <row r="278" spans="1:7">
      <c r="A278">
        <v>1990</v>
      </c>
      <c r="B278" t="s">
        <v>310</v>
      </c>
      <c r="C278" t="s">
        <v>299</v>
      </c>
      <c r="D278" t="s">
        <v>16</v>
      </c>
      <c r="E278" t="s">
        <v>16</v>
      </c>
      <c r="F278" t="s">
        <v>16</v>
      </c>
      <c r="G278">
        <f t="shared" si="10"/>
        <v>0</v>
      </c>
    </row>
    <row r="279" spans="1:7">
      <c r="A279">
        <v>1990</v>
      </c>
      <c r="B279" t="s">
        <v>310</v>
      </c>
      <c r="C279" t="s">
        <v>299</v>
      </c>
      <c r="D279" t="s">
        <v>16</v>
      </c>
      <c r="E279" t="s">
        <v>16</v>
      </c>
      <c r="F279" t="s">
        <v>16</v>
      </c>
      <c r="G279">
        <f t="shared" si="10"/>
        <v>0</v>
      </c>
    </row>
    <row r="280" spans="1:7">
      <c r="A280">
        <v>1990</v>
      </c>
      <c r="B280" t="s">
        <v>310</v>
      </c>
      <c r="C280" t="s">
        <v>299</v>
      </c>
      <c r="D280" t="s">
        <v>16</v>
      </c>
      <c r="E280" t="s">
        <v>16</v>
      </c>
      <c r="F280" t="s">
        <v>16</v>
      </c>
      <c r="G280">
        <f t="shared" si="10"/>
        <v>0</v>
      </c>
    </row>
    <row r="281" spans="1:7">
      <c r="A281">
        <v>1990</v>
      </c>
      <c r="B281" t="s">
        <v>310</v>
      </c>
      <c r="C281" t="s">
        <v>299</v>
      </c>
      <c r="D281" t="s">
        <v>16</v>
      </c>
      <c r="E281" t="s">
        <v>16</v>
      </c>
      <c r="F281" t="s">
        <v>16</v>
      </c>
      <c r="G281">
        <f t="shared" si="10"/>
        <v>0</v>
      </c>
    </row>
    <row r="282" spans="1:7">
      <c r="A282">
        <v>1990</v>
      </c>
      <c r="B282" t="s">
        <v>310</v>
      </c>
      <c r="C282" t="s">
        <v>299</v>
      </c>
      <c r="D282" t="s">
        <v>16</v>
      </c>
      <c r="E282" t="s">
        <v>16</v>
      </c>
      <c r="F282" t="s">
        <v>16</v>
      </c>
      <c r="G282">
        <f t="shared" si="10"/>
        <v>0</v>
      </c>
    </row>
    <row r="283" spans="1:7">
      <c r="A283">
        <v>1990</v>
      </c>
      <c r="B283" t="s">
        <v>310</v>
      </c>
      <c r="C283" t="s">
        <v>299</v>
      </c>
      <c r="D283" t="s">
        <v>16</v>
      </c>
      <c r="E283" t="s">
        <v>16</v>
      </c>
      <c r="F283" t="s">
        <v>16</v>
      </c>
      <c r="G283">
        <f t="shared" si="10"/>
        <v>0</v>
      </c>
    </row>
    <row r="284" spans="1:7">
      <c r="A284">
        <v>1990</v>
      </c>
      <c r="B284" t="s">
        <v>310</v>
      </c>
      <c r="C284" t="s">
        <v>299</v>
      </c>
      <c r="D284" t="s">
        <v>16</v>
      </c>
      <c r="E284" t="s">
        <v>16</v>
      </c>
      <c r="F284" t="s">
        <v>16</v>
      </c>
      <c r="G284">
        <f t="shared" si="10"/>
        <v>0</v>
      </c>
    </row>
    <row r="285" spans="1:7">
      <c r="A285">
        <v>1991</v>
      </c>
      <c r="B285" t="s">
        <v>310</v>
      </c>
      <c r="C285" t="s">
        <v>299</v>
      </c>
      <c r="D285" t="s">
        <v>16</v>
      </c>
      <c r="E285" t="s">
        <v>16</v>
      </c>
      <c r="F285" t="s">
        <v>16</v>
      </c>
      <c r="G285">
        <f t="shared" si="10"/>
        <v>0</v>
      </c>
    </row>
    <row r="286" spans="1:7">
      <c r="A286">
        <v>1991</v>
      </c>
      <c r="B286" t="s">
        <v>310</v>
      </c>
      <c r="C286" t="s">
        <v>299</v>
      </c>
      <c r="D286" t="s">
        <v>16</v>
      </c>
      <c r="E286" t="s">
        <v>16</v>
      </c>
      <c r="F286" t="s">
        <v>16</v>
      </c>
      <c r="G286">
        <f t="shared" si="10"/>
        <v>0</v>
      </c>
    </row>
    <row r="287" spans="1:7">
      <c r="A287">
        <v>1983</v>
      </c>
      <c r="B287" t="s">
        <v>310</v>
      </c>
      <c r="C287" t="s">
        <v>320</v>
      </c>
      <c r="D287" t="s">
        <v>16</v>
      </c>
      <c r="E287" t="s">
        <v>16</v>
      </c>
      <c r="F287" t="s">
        <v>16</v>
      </c>
      <c r="G287">
        <f t="shared" si="10"/>
        <v>0</v>
      </c>
    </row>
    <row r="288" spans="1:7">
      <c r="A288">
        <v>1984</v>
      </c>
      <c r="B288" t="s">
        <v>310</v>
      </c>
      <c r="C288" t="s">
        <v>321</v>
      </c>
      <c r="D288" t="s">
        <v>16</v>
      </c>
      <c r="E288" t="s">
        <v>16</v>
      </c>
      <c r="F288" t="s">
        <v>16</v>
      </c>
      <c r="G288">
        <f t="shared" si="10"/>
        <v>0</v>
      </c>
    </row>
    <row r="289" spans="1:7">
      <c r="A289">
        <v>1986</v>
      </c>
      <c r="B289" t="s">
        <v>310</v>
      </c>
      <c r="C289" t="s">
        <v>321</v>
      </c>
      <c r="D289" t="s">
        <v>16</v>
      </c>
      <c r="E289" t="s">
        <v>16</v>
      </c>
      <c r="F289" t="s">
        <v>16</v>
      </c>
      <c r="G289">
        <f t="shared" si="10"/>
        <v>0</v>
      </c>
    </row>
    <row r="290" spans="1:7">
      <c r="A290">
        <v>1987</v>
      </c>
      <c r="B290" t="s">
        <v>310</v>
      </c>
      <c r="C290" t="s">
        <v>321</v>
      </c>
      <c r="D290" t="s">
        <v>16</v>
      </c>
      <c r="E290" t="s">
        <v>16</v>
      </c>
      <c r="F290" t="s">
        <v>16</v>
      </c>
      <c r="G290">
        <f t="shared" si="10"/>
        <v>0</v>
      </c>
    </row>
    <row r="291" spans="1:7">
      <c r="A291">
        <v>1987</v>
      </c>
      <c r="B291" t="s">
        <v>310</v>
      </c>
      <c r="C291" t="s">
        <v>321</v>
      </c>
      <c r="D291" t="s">
        <v>16</v>
      </c>
      <c r="E291" t="s">
        <v>16</v>
      </c>
      <c r="F291" t="s">
        <v>16</v>
      </c>
      <c r="G291">
        <f t="shared" si="10"/>
        <v>0</v>
      </c>
    </row>
    <row r="292" spans="1:7">
      <c r="A292">
        <v>1988</v>
      </c>
      <c r="B292" t="s">
        <v>310</v>
      </c>
      <c r="C292" t="s">
        <v>321</v>
      </c>
      <c r="D292" t="s">
        <v>16</v>
      </c>
      <c r="E292" t="s">
        <v>16</v>
      </c>
      <c r="F292" t="s">
        <v>16</v>
      </c>
      <c r="G292">
        <f t="shared" si="10"/>
        <v>0</v>
      </c>
    </row>
    <row r="293" spans="1:7">
      <c r="A293">
        <v>1986</v>
      </c>
      <c r="B293" t="s">
        <v>310</v>
      </c>
      <c r="C293" t="s">
        <v>322</v>
      </c>
      <c r="D293" t="s">
        <v>16</v>
      </c>
      <c r="E293" t="s">
        <v>16</v>
      </c>
      <c r="F293" t="s">
        <v>16</v>
      </c>
      <c r="G293">
        <f t="shared" si="10"/>
        <v>0</v>
      </c>
    </row>
    <row r="294" spans="1:7">
      <c r="A294">
        <v>1987</v>
      </c>
      <c r="B294" t="s">
        <v>310</v>
      </c>
      <c r="C294" t="s">
        <v>322</v>
      </c>
      <c r="D294" t="s">
        <v>16</v>
      </c>
      <c r="E294" t="s">
        <v>16</v>
      </c>
      <c r="F294" t="s">
        <v>16</v>
      </c>
      <c r="G294">
        <f t="shared" si="10"/>
        <v>0</v>
      </c>
    </row>
    <row r="295" spans="1:7">
      <c r="A295">
        <v>1987</v>
      </c>
      <c r="B295" t="s">
        <v>310</v>
      </c>
      <c r="C295" t="s">
        <v>322</v>
      </c>
      <c r="D295" t="s">
        <v>16</v>
      </c>
      <c r="E295" t="s">
        <v>16</v>
      </c>
      <c r="F295" t="s">
        <v>16</v>
      </c>
      <c r="G295">
        <f t="shared" si="10"/>
        <v>0</v>
      </c>
    </row>
    <row r="296" spans="1:7">
      <c r="A296">
        <v>1988</v>
      </c>
      <c r="B296" t="s">
        <v>310</v>
      </c>
      <c r="C296" t="s">
        <v>322</v>
      </c>
      <c r="D296" t="s">
        <v>16</v>
      </c>
      <c r="E296" t="s">
        <v>16</v>
      </c>
      <c r="F296" t="s">
        <v>16</v>
      </c>
      <c r="G296">
        <f t="shared" si="10"/>
        <v>0</v>
      </c>
    </row>
    <row r="297" spans="1:7">
      <c r="A297">
        <v>1988</v>
      </c>
      <c r="B297" t="s">
        <v>310</v>
      </c>
      <c r="C297" t="s">
        <v>322</v>
      </c>
      <c r="D297" t="s">
        <v>16</v>
      </c>
      <c r="E297" t="s">
        <v>16</v>
      </c>
      <c r="F297" t="s">
        <v>16</v>
      </c>
      <c r="G297">
        <f t="shared" si="10"/>
        <v>0</v>
      </c>
    </row>
    <row r="298" spans="1:7">
      <c r="A298">
        <v>1989</v>
      </c>
      <c r="B298" t="s">
        <v>310</v>
      </c>
      <c r="C298" t="s">
        <v>322</v>
      </c>
      <c r="D298" t="s">
        <v>16</v>
      </c>
      <c r="E298" t="s">
        <v>16</v>
      </c>
      <c r="F298" t="s">
        <v>16</v>
      </c>
      <c r="G298">
        <f t="shared" si="10"/>
        <v>0</v>
      </c>
    </row>
    <row r="299" spans="1:7">
      <c r="A299">
        <v>1989</v>
      </c>
      <c r="B299" t="s">
        <v>310</v>
      </c>
      <c r="C299" t="s">
        <v>322</v>
      </c>
      <c r="D299" t="s">
        <v>16</v>
      </c>
      <c r="E299" t="s">
        <v>16</v>
      </c>
      <c r="F299" t="s">
        <v>16</v>
      </c>
      <c r="G299">
        <f t="shared" si="10"/>
        <v>0</v>
      </c>
    </row>
    <row r="300" spans="1:7">
      <c r="A300">
        <v>1990</v>
      </c>
      <c r="B300" t="s">
        <v>310</v>
      </c>
      <c r="C300" t="s">
        <v>322</v>
      </c>
      <c r="D300" t="s">
        <v>16</v>
      </c>
      <c r="E300" t="s">
        <v>16</v>
      </c>
      <c r="F300" t="s">
        <v>16</v>
      </c>
      <c r="G300">
        <f t="shared" si="10"/>
        <v>0</v>
      </c>
    </row>
    <row r="301" spans="1:7">
      <c r="A301">
        <v>1990</v>
      </c>
      <c r="B301" t="s">
        <v>310</v>
      </c>
      <c r="C301" t="s">
        <v>322</v>
      </c>
      <c r="D301" t="s">
        <v>16</v>
      </c>
      <c r="E301" t="s">
        <v>16</v>
      </c>
      <c r="F301" t="s">
        <v>16</v>
      </c>
      <c r="G301">
        <f t="shared" si="10"/>
        <v>0</v>
      </c>
    </row>
    <row r="302" spans="1:7">
      <c r="A302">
        <v>1983</v>
      </c>
      <c r="B302" t="s">
        <v>310</v>
      </c>
      <c r="C302" t="s">
        <v>55</v>
      </c>
      <c r="D302" t="s">
        <v>16</v>
      </c>
      <c r="E302" t="s">
        <v>16</v>
      </c>
      <c r="F302" t="s">
        <v>16</v>
      </c>
      <c r="G302">
        <f t="shared" si="10"/>
        <v>0</v>
      </c>
    </row>
    <row r="303" spans="1:7">
      <c r="A303">
        <v>1983</v>
      </c>
      <c r="B303" t="s">
        <v>310</v>
      </c>
      <c r="C303" t="s">
        <v>55</v>
      </c>
      <c r="D303" t="s">
        <v>16</v>
      </c>
      <c r="E303" t="s">
        <v>16</v>
      </c>
      <c r="F303" t="s">
        <v>16</v>
      </c>
      <c r="G303">
        <f t="shared" si="10"/>
        <v>0</v>
      </c>
    </row>
    <row r="304" spans="1:7">
      <c r="A304">
        <v>1984</v>
      </c>
      <c r="B304" t="s">
        <v>310</v>
      </c>
      <c r="C304" t="s">
        <v>55</v>
      </c>
      <c r="D304" t="s">
        <v>16</v>
      </c>
      <c r="E304" t="s">
        <v>16</v>
      </c>
      <c r="F304" t="s">
        <v>16</v>
      </c>
      <c r="G304">
        <f t="shared" si="10"/>
        <v>0</v>
      </c>
    </row>
    <row r="305" spans="1:7">
      <c r="A305">
        <v>1984</v>
      </c>
      <c r="B305" t="s">
        <v>310</v>
      </c>
      <c r="C305" t="s">
        <v>55</v>
      </c>
      <c r="D305" t="s">
        <v>16</v>
      </c>
      <c r="E305" t="s">
        <v>16</v>
      </c>
      <c r="F305" t="s">
        <v>16</v>
      </c>
      <c r="G305">
        <f t="shared" si="10"/>
        <v>0</v>
      </c>
    </row>
    <row r="306" spans="1:7">
      <c r="A306">
        <v>1984</v>
      </c>
      <c r="B306" t="s">
        <v>310</v>
      </c>
      <c r="C306" t="s">
        <v>55</v>
      </c>
      <c r="D306" t="s">
        <v>16</v>
      </c>
      <c r="E306" t="s">
        <v>16</v>
      </c>
      <c r="F306" t="s">
        <v>16</v>
      </c>
      <c r="G306">
        <f t="shared" si="10"/>
        <v>0</v>
      </c>
    </row>
    <row r="307" spans="1:7">
      <c r="A307">
        <v>1985</v>
      </c>
      <c r="B307" t="s">
        <v>310</v>
      </c>
      <c r="C307" t="s">
        <v>55</v>
      </c>
      <c r="D307" t="s">
        <v>16</v>
      </c>
      <c r="E307" t="s">
        <v>16</v>
      </c>
      <c r="F307" t="s">
        <v>16</v>
      </c>
      <c r="G307">
        <f t="shared" si="10"/>
        <v>0</v>
      </c>
    </row>
    <row r="308" spans="1:7">
      <c r="A308">
        <v>1985</v>
      </c>
      <c r="B308" t="s">
        <v>310</v>
      </c>
      <c r="C308" t="s">
        <v>55</v>
      </c>
      <c r="D308" t="s">
        <v>16</v>
      </c>
      <c r="E308" t="s">
        <v>16</v>
      </c>
      <c r="F308" t="s">
        <v>16</v>
      </c>
      <c r="G308">
        <f t="shared" si="10"/>
        <v>0</v>
      </c>
    </row>
    <row r="309" spans="1:7">
      <c r="A309">
        <v>1985</v>
      </c>
      <c r="B309" t="s">
        <v>310</v>
      </c>
      <c r="C309" t="s">
        <v>55</v>
      </c>
      <c r="D309" t="s">
        <v>16</v>
      </c>
      <c r="E309" t="s">
        <v>16</v>
      </c>
      <c r="F309" t="s">
        <v>16</v>
      </c>
      <c r="G309">
        <f t="shared" si="10"/>
        <v>0</v>
      </c>
    </row>
    <row r="310" spans="1:7">
      <c r="A310">
        <v>1986</v>
      </c>
      <c r="B310" t="s">
        <v>310</v>
      </c>
      <c r="C310" t="s">
        <v>55</v>
      </c>
      <c r="D310" t="s">
        <v>16</v>
      </c>
      <c r="E310" t="s">
        <v>16</v>
      </c>
      <c r="F310" t="s">
        <v>16</v>
      </c>
      <c r="G310">
        <f t="shared" si="10"/>
        <v>0</v>
      </c>
    </row>
    <row r="311" spans="1:7">
      <c r="A311">
        <v>1986</v>
      </c>
      <c r="B311" t="s">
        <v>310</v>
      </c>
      <c r="C311" t="s">
        <v>55</v>
      </c>
      <c r="D311" t="s">
        <v>16</v>
      </c>
      <c r="E311" t="s">
        <v>16</v>
      </c>
      <c r="F311" t="s">
        <v>16</v>
      </c>
      <c r="G311">
        <f t="shared" si="10"/>
        <v>0</v>
      </c>
    </row>
    <row r="312" spans="1:7">
      <c r="A312">
        <v>1986</v>
      </c>
      <c r="B312" t="s">
        <v>310</v>
      </c>
      <c r="C312" t="s">
        <v>55</v>
      </c>
      <c r="D312" t="s">
        <v>16</v>
      </c>
      <c r="E312" t="s">
        <v>16</v>
      </c>
      <c r="F312" t="s">
        <v>16</v>
      </c>
      <c r="G312">
        <f t="shared" si="10"/>
        <v>0</v>
      </c>
    </row>
    <row r="313" spans="1:7">
      <c r="A313">
        <v>1986</v>
      </c>
      <c r="B313" t="s">
        <v>310</v>
      </c>
      <c r="C313" t="s">
        <v>55</v>
      </c>
      <c r="D313" t="s">
        <v>16</v>
      </c>
      <c r="E313" t="s">
        <v>16</v>
      </c>
      <c r="F313" t="s">
        <v>16</v>
      </c>
      <c r="G313">
        <f t="shared" si="10"/>
        <v>0</v>
      </c>
    </row>
    <row r="314" spans="1:7">
      <c r="A314">
        <v>1987</v>
      </c>
      <c r="B314" t="s">
        <v>310</v>
      </c>
      <c r="C314" t="s">
        <v>55</v>
      </c>
      <c r="D314" t="s">
        <v>16</v>
      </c>
      <c r="E314" t="s">
        <v>16</v>
      </c>
      <c r="F314" t="s">
        <v>16</v>
      </c>
      <c r="G314">
        <f t="shared" si="10"/>
        <v>0</v>
      </c>
    </row>
    <row r="315" spans="1:7">
      <c r="A315">
        <v>1987</v>
      </c>
      <c r="B315" t="s">
        <v>310</v>
      </c>
      <c r="C315" t="s">
        <v>55</v>
      </c>
      <c r="D315" t="s">
        <v>16</v>
      </c>
      <c r="E315" t="s">
        <v>16</v>
      </c>
      <c r="F315" t="s">
        <v>16</v>
      </c>
      <c r="G315">
        <f t="shared" si="10"/>
        <v>0</v>
      </c>
    </row>
    <row r="316" spans="1:7">
      <c r="A316">
        <v>1987</v>
      </c>
      <c r="B316" t="s">
        <v>310</v>
      </c>
      <c r="C316" t="s">
        <v>55</v>
      </c>
      <c r="D316" t="s">
        <v>16</v>
      </c>
      <c r="E316" t="s">
        <v>16</v>
      </c>
      <c r="F316" t="s">
        <v>16</v>
      </c>
      <c r="G316">
        <f t="shared" si="10"/>
        <v>0</v>
      </c>
    </row>
    <row r="317" spans="1:7">
      <c r="A317">
        <v>1988</v>
      </c>
      <c r="B317" t="s">
        <v>310</v>
      </c>
      <c r="C317" t="s">
        <v>55</v>
      </c>
      <c r="D317" t="s">
        <v>16</v>
      </c>
      <c r="E317" t="s">
        <v>16</v>
      </c>
      <c r="F317" t="s">
        <v>16</v>
      </c>
      <c r="G317">
        <f t="shared" si="10"/>
        <v>0</v>
      </c>
    </row>
    <row r="318" spans="1:7">
      <c r="A318">
        <v>1988</v>
      </c>
      <c r="B318" t="s">
        <v>310</v>
      </c>
      <c r="C318" t="s">
        <v>55</v>
      </c>
      <c r="D318" t="s">
        <v>16</v>
      </c>
      <c r="E318" t="s">
        <v>16</v>
      </c>
      <c r="F318" t="s">
        <v>16</v>
      </c>
      <c r="G318">
        <f t="shared" si="10"/>
        <v>0</v>
      </c>
    </row>
    <row r="319" spans="1:7">
      <c r="A319">
        <v>1988</v>
      </c>
      <c r="B319" t="s">
        <v>310</v>
      </c>
      <c r="C319" t="s">
        <v>55</v>
      </c>
      <c r="D319" t="s">
        <v>16</v>
      </c>
      <c r="E319" t="s">
        <v>16</v>
      </c>
      <c r="F319" t="s">
        <v>16</v>
      </c>
      <c r="G319">
        <f t="shared" si="10"/>
        <v>0</v>
      </c>
    </row>
    <row r="320" spans="1:7">
      <c r="A320">
        <v>1989</v>
      </c>
      <c r="B320" t="s">
        <v>310</v>
      </c>
      <c r="C320" t="s">
        <v>55</v>
      </c>
      <c r="D320" t="s">
        <v>16</v>
      </c>
      <c r="E320" t="s">
        <v>16</v>
      </c>
      <c r="F320" t="s">
        <v>16</v>
      </c>
      <c r="G320">
        <f t="shared" si="10"/>
        <v>0</v>
      </c>
    </row>
    <row r="321" spans="1:7">
      <c r="A321">
        <v>1989</v>
      </c>
      <c r="B321" t="s">
        <v>310</v>
      </c>
      <c r="C321" t="s">
        <v>55</v>
      </c>
      <c r="D321" t="s">
        <v>16</v>
      </c>
      <c r="E321" t="s">
        <v>16</v>
      </c>
      <c r="F321" t="s">
        <v>16</v>
      </c>
      <c r="G321">
        <f t="shared" si="10"/>
        <v>0</v>
      </c>
    </row>
    <row r="322" spans="1:7">
      <c r="A322">
        <v>1989</v>
      </c>
      <c r="B322" t="s">
        <v>310</v>
      </c>
      <c r="C322" t="s">
        <v>55</v>
      </c>
      <c r="D322" t="s">
        <v>16</v>
      </c>
      <c r="E322" t="s">
        <v>16</v>
      </c>
      <c r="F322" t="s">
        <v>16</v>
      </c>
      <c r="G322">
        <f t="shared" si="10"/>
        <v>0</v>
      </c>
    </row>
    <row r="323" spans="1:7">
      <c r="A323">
        <v>1989</v>
      </c>
      <c r="B323" t="s">
        <v>310</v>
      </c>
      <c r="C323" t="s">
        <v>55</v>
      </c>
      <c r="D323" t="s">
        <v>16</v>
      </c>
      <c r="E323" t="s">
        <v>16</v>
      </c>
      <c r="F323" t="s">
        <v>16</v>
      </c>
      <c r="G323">
        <f t="shared" ref="G323:G386" si="11">SUM(D323:F323)</f>
        <v>0</v>
      </c>
    </row>
    <row r="324" spans="1:7">
      <c r="A324">
        <v>1990</v>
      </c>
      <c r="B324" t="s">
        <v>310</v>
      </c>
      <c r="C324" t="s">
        <v>55</v>
      </c>
      <c r="D324" t="s">
        <v>16</v>
      </c>
      <c r="E324" t="s">
        <v>16</v>
      </c>
      <c r="F324" t="s">
        <v>16</v>
      </c>
      <c r="G324">
        <f t="shared" si="11"/>
        <v>0</v>
      </c>
    </row>
    <row r="325" spans="1:7">
      <c r="A325">
        <v>1990</v>
      </c>
      <c r="B325" t="s">
        <v>310</v>
      </c>
      <c r="C325" t="s">
        <v>55</v>
      </c>
      <c r="D325" t="s">
        <v>16</v>
      </c>
      <c r="E325" t="s">
        <v>16</v>
      </c>
      <c r="F325" t="s">
        <v>16</v>
      </c>
      <c r="G325">
        <f t="shared" si="11"/>
        <v>0</v>
      </c>
    </row>
    <row r="326" spans="1:7">
      <c r="A326">
        <v>1990</v>
      </c>
      <c r="B326" t="s">
        <v>310</v>
      </c>
      <c r="C326" t="s">
        <v>55</v>
      </c>
      <c r="D326" t="s">
        <v>16</v>
      </c>
      <c r="E326" t="s">
        <v>16</v>
      </c>
      <c r="F326" t="s">
        <v>16</v>
      </c>
      <c r="G326">
        <f t="shared" si="11"/>
        <v>0</v>
      </c>
    </row>
    <row r="327" spans="1:7">
      <c r="A327">
        <v>1991</v>
      </c>
      <c r="B327" t="s">
        <v>310</v>
      </c>
      <c r="C327" t="s">
        <v>55</v>
      </c>
      <c r="D327" t="s">
        <v>16</v>
      </c>
      <c r="E327" t="s">
        <v>16</v>
      </c>
      <c r="F327" t="s">
        <v>16</v>
      </c>
      <c r="G327">
        <f t="shared" si="11"/>
        <v>0</v>
      </c>
    </row>
    <row r="328" spans="1:7">
      <c r="A328">
        <v>1987</v>
      </c>
      <c r="B328" t="s">
        <v>310</v>
      </c>
      <c r="C328" t="s">
        <v>323</v>
      </c>
      <c r="D328" t="s">
        <v>16</v>
      </c>
      <c r="E328" t="s">
        <v>16</v>
      </c>
      <c r="F328" t="s">
        <v>16</v>
      </c>
      <c r="G328">
        <f t="shared" si="11"/>
        <v>0</v>
      </c>
    </row>
    <row r="329" spans="1:7">
      <c r="A329">
        <v>1989</v>
      </c>
      <c r="B329" t="s">
        <v>310</v>
      </c>
      <c r="C329" t="s">
        <v>323</v>
      </c>
      <c r="D329" t="s">
        <v>16</v>
      </c>
      <c r="E329" t="s">
        <v>16</v>
      </c>
      <c r="F329" t="s">
        <v>16</v>
      </c>
      <c r="G329">
        <f t="shared" si="11"/>
        <v>0</v>
      </c>
    </row>
    <row r="330" spans="1:7">
      <c r="A330">
        <v>1990</v>
      </c>
      <c r="B330" t="s">
        <v>310</v>
      </c>
      <c r="C330" t="s">
        <v>323</v>
      </c>
      <c r="D330" t="s">
        <v>16</v>
      </c>
      <c r="E330" t="s">
        <v>16</v>
      </c>
      <c r="F330" t="s">
        <v>16</v>
      </c>
      <c r="G330">
        <f t="shared" si="11"/>
        <v>0</v>
      </c>
    </row>
    <row r="331" spans="1:7">
      <c r="A331">
        <v>1983</v>
      </c>
      <c r="B331" t="s">
        <v>310</v>
      </c>
      <c r="C331" t="s">
        <v>43</v>
      </c>
      <c r="D331" t="s">
        <v>16</v>
      </c>
      <c r="E331" t="s">
        <v>16</v>
      </c>
      <c r="F331" t="s">
        <v>16</v>
      </c>
      <c r="G331">
        <f t="shared" si="11"/>
        <v>0</v>
      </c>
    </row>
    <row r="332" spans="1:7">
      <c r="A332">
        <v>1984</v>
      </c>
      <c r="B332" t="s">
        <v>310</v>
      </c>
      <c r="C332" t="s">
        <v>43</v>
      </c>
      <c r="D332" t="s">
        <v>16</v>
      </c>
      <c r="E332" t="s">
        <v>16</v>
      </c>
      <c r="F332" t="s">
        <v>16</v>
      </c>
      <c r="G332">
        <f t="shared" si="11"/>
        <v>0</v>
      </c>
    </row>
    <row r="333" spans="1:7">
      <c r="A333">
        <v>1985</v>
      </c>
      <c r="B333" t="s">
        <v>310</v>
      </c>
      <c r="C333" t="s">
        <v>43</v>
      </c>
      <c r="D333" t="s">
        <v>16</v>
      </c>
      <c r="E333" t="s">
        <v>16</v>
      </c>
      <c r="F333" t="s">
        <v>16</v>
      </c>
      <c r="G333">
        <f t="shared" si="11"/>
        <v>0</v>
      </c>
    </row>
    <row r="334" spans="1:7">
      <c r="A334">
        <v>1986</v>
      </c>
      <c r="B334" t="s">
        <v>310</v>
      </c>
      <c r="C334" t="s">
        <v>43</v>
      </c>
      <c r="D334" t="s">
        <v>16</v>
      </c>
      <c r="E334" t="s">
        <v>16</v>
      </c>
      <c r="F334" t="s">
        <v>16</v>
      </c>
      <c r="G334">
        <f t="shared" si="11"/>
        <v>0</v>
      </c>
    </row>
    <row r="335" spans="1:7">
      <c r="A335">
        <v>1987</v>
      </c>
      <c r="B335" t="s">
        <v>310</v>
      </c>
      <c r="C335" t="s">
        <v>43</v>
      </c>
      <c r="D335" t="s">
        <v>16</v>
      </c>
      <c r="E335" t="s">
        <v>16</v>
      </c>
      <c r="F335" t="s">
        <v>16</v>
      </c>
      <c r="G335">
        <f t="shared" si="11"/>
        <v>0</v>
      </c>
    </row>
    <row r="336" spans="1:7">
      <c r="A336">
        <v>1988</v>
      </c>
      <c r="B336" t="s">
        <v>310</v>
      </c>
      <c r="C336" t="s">
        <v>43</v>
      </c>
      <c r="D336" t="s">
        <v>16</v>
      </c>
      <c r="E336" t="s">
        <v>16</v>
      </c>
      <c r="F336" t="s">
        <v>16</v>
      </c>
      <c r="G336">
        <f t="shared" si="11"/>
        <v>0</v>
      </c>
    </row>
    <row r="337" spans="1:7">
      <c r="A337">
        <v>1989</v>
      </c>
      <c r="B337" t="s">
        <v>310</v>
      </c>
      <c r="C337" t="s">
        <v>43</v>
      </c>
      <c r="D337" t="s">
        <v>16</v>
      </c>
      <c r="E337" t="s">
        <v>16</v>
      </c>
      <c r="F337" t="s">
        <v>16</v>
      </c>
      <c r="G337">
        <f t="shared" si="11"/>
        <v>0</v>
      </c>
    </row>
    <row r="338" spans="1:7">
      <c r="A338">
        <v>1989</v>
      </c>
      <c r="B338" t="s">
        <v>310</v>
      </c>
      <c r="C338" t="s">
        <v>43</v>
      </c>
      <c r="D338">
        <v>12328</v>
      </c>
      <c r="E338">
        <v>10988</v>
      </c>
      <c r="F338">
        <v>108965</v>
      </c>
      <c r="G338">
        <f t="shared" si="11"/>
        <v>132281</v>
      </c>
    </row>
    <row r="339" spans="1:7">
      <c r="A339">
        <v>1989</v>
      </c>
      <c r="B339" t="s">
        <v>310</v>
      </c>
      <c r="C339" t="s">
        <v>43</v>
      </c>
      <c r="D339" t="s">
        <v>16</v>
      </c>
      <c r="E339" t="s">
        <v>16</v>
      </c>
      <c r="F339" t="s">
        <v>16</v>
      </c>
      <c r="G339">
        <f t="shared" si="11"/>
        <v>0</v>
      </c>
    </row>
    <row r="340" spans="1:7">
      <c r="A340">
        <v>1990</v>
      </c>
      <c r="B340" t="s">
        <v>310</v>
      </c>
      <c r="C340" t="s">
        <v>43</v>
      </c>
      <c r="D340">
        <v>14949</v>
      </c>
      <c r="E340">
        <v>18806</v>
      </c>
      <c r="F340">
        <v>167733</v>
      </c>
      <c r="G340">
        <f t="shared" si="11"/>
        <v>201488</v>
      </c>
    </row>
    <row r="341" spans="1:7">
      <c r="A341">
        <v>1990</v>
      </c>
      <c r="B341" t="s">
        <v>310</v>
      </c>
      <c r="C341" t="s">
        <v>43</v>
      </c>
      <c r="D341" t="s">
        <v>16</v>
      </c>
      <c r="E341" t="s">
        <v>16</v>
      </c>
      <c r="F341" t="s">
        <v>16</v>
      </c>
      <c r="G341">
        <f t="shared" si="11"/>
        <v>0</v>
      </c>
    </row>
    <row r="342" spans="1:7">
      <c r="A342">
        <v>1991</v>
      </c>
      <c r="B342" t="s">
        <v>310</v>
      </c>
      <c r="C342" t="s">
        <v>43</v>
      </c>
      <c r="D342">
        <v>14743</v>
      </c>
      <c r="E342">
        <v>16045</v>
      </c>
      <c r="F342">
        <v>151224</v>
      </c>
      <c r="G342">
        <f t="shared" si="11"/>
        <v>182012</v>
      </c>
    </row>
    <row r="343" spans="1:7">
      <c r="A343">
        <v>1983</v>
      </c>
      <c r="B343" t="s">
        <v>310</v>
      </c>
      <c r="C343" t="s">
        <v>301</v>
      </c>
      <c r="D343" t="s">
        <v>16</v>
      </c>
      <c r="E343" t="s">
        <v>16</v>
      </c>
      <c r="F343" t="s">
        <v>16</v>
      </c>
      <c r="G343">
        <f t="shared" si="11"/>
        <v>0</v>
      </c>
    </row>
    <row r="344" spans="1:7">
      <c r="A344">
        <v>1983</v>
      </c>
      <c r="B344" t="s">
        <v>310</v>
      </c>
      <c r="C344" t="s">
        <v>301</v>
      </c>
      <c r="D344" t="s">
        <v>16</v>
      </c>
      <c r="E344" t="s">
        <v>16</v>
      </c>
      <c r="F344" t="s">
        <v>16</v>
      </c>
      <c r="G344">
        <f t="shared" si="11"/>
        <v>0</v>
      </c>
    </row>
    <row r="345" spans="1:7">
      <c r="A345">
        <v>1985</v>
      </c>
      <c r="B345" t="s">
        <v>310</v>
      </c>
      <c r="C345" t="s">
        <v>301</v>
      </c>
      <c r="D345" t="s">
        <v>16</v>
      </c>
      <c r="E345" t="s">
        <v>16</v>
      </c>
      <c r="F345" t="s">
        <v>16</v>
      </c>
      <c r="G345">
        <f t="shared" si="11"/>
        <v>0</v>
      </c>
    </row>
    <row r="346" spans="1:7">
      <c r="A346">
        <v>1985</v>
      </c>
      <c r="B346" t="s">
        <v>310</v>
      </c>
      <c r="C346" t="s">
        <v>301</v>
      </c>
      <c r="D346" t="s">
        <v>16</v>
      </c>
      <c r="E346" t="s">
        <v>16</v>
      </c>
      <c r="F346" t="s">
        <v>16</v>
      </c>
      <c r="G346">
        <f t="shared" si="11"/>
        <v>0</v>
      </c>
    </row>
    <row r="347" spans="1:7">
      <c r="A347">
        <v>1985</v>
      </c>
      <c r="B347" t="s">
        <v>310</v>
      </c>
      <c r="C347" t="s">
        <v>301</v>
      </c>
      <c r="D347" t="s">
        <v>16</v>
      </c>
      <c r="E347" t="s">
        <v>16</v>
      </c>
      <c r="F347" t="s">
        <v>16</v>
      </c>
      <c r="G347">
        <f t="shared" si="11"/>
        <v>0</v>
      </c>
    </row>
    <row r="348" spans="1:7">
      <c r="A348">
        <v>1985</v>
      </c>
      <c r="B348" t="s">
        <v>310</v>
      </c>
      <c r="C348" t="s">
        <v>301</v>
      </c>
      <c r="D348" t="s">
        <v>16</v>
      </c>
      <c r="E348" t="s">
        <v>16</v>
      </c>
      <c r="F348" t="s">
        <v>16</v>
      </c>
      <c r="G348">
        <f t="shared" si="11"/>
        <v>0</v>
      </c>
    </row>
    <row r="349" spans="1:7">
      <c r="A349">
        <v>1986</v>
      </c>
      <c r="B349" t="s">
        <v>310</v>
      </c>
      <c r="C349" t="s">
        <v>301</v>
      </c>
      <c r="D349" t="s">
        <v>16</v>
      </c>
      <c r="E349" t="s">
        <v>16</v>
      </c>
      <c r="F349" t="s">
        <v>16</v>
      </c>
      <c r="G349">
        <f t="shared" si="11"/>
        <v>0</v>
      </c>
    </row>
    <row r="350" spans="1:7">
      <c r="A350">
        <v>1986</v>
      </c>
      <c r="B350" t="s">
        <v>310</v>
      </c>
      <c r="C350" t="s">
        <v>301</v>
      </c>
      <c r="D350" t="s">
        <v>16</v>
      </c>
      <c r="E350" t="s">
        <v>16</v>
      </c>
      <c r="F350" t="s">
        <v>16</v>
      </c>
      <c r="G350">
        <f t="shared" si="11"/>
        <v>0</v>
      </c>
    </row>
    <row r="351" spans="1:7">
      <c r="A351">
        <v>1986</v>
      </c>
      <c r="B351" t="s">
        <v>310</v>
      </c>
      <c r="C351" t="s">
        <v>301</v>
      </c>
      <c r="D351" t="s">
        <v>16</v>
      </c>
      <c r="E351" t="s">
        <v>16</v>
      </c>
      <c r="F351" t="s">
        <v>16</v>
      </c>
      <c r="G351">
        <f t="shared" si="11"/>
        <v>0</v>
      </c>
    </row>
    <row r="352" spans="1:7">
      <c r="A352">
        <v>1986</v>
      </c>
      <c r="B352" t="s">
        <v>310</v>
      </c>
      <c r="C352" t="s">
        <v>301</v>
      </c>
      <c r="D352" t="s">
        <v>16</v>
      </c>
      <c r="E352" t="s">
        <v>16</v>
      </c>
      <c r="F352" t="s">
        <v>16</v>
      </c>
      <c r="G352">
        <f t="shared" si="11"/>
        <v>0</v>
      </c>
    </row>
    <row r="353" spans="1:7">
      <c r="A353">
        <v>1986</v>
      </c>
      <c r="B353" t="s">
        <v>310</v>
      </c>
      <c r="C353" t="s">
        <v>301</v>
      </c>
      <c r="D353" t="s">
        <v>16</v>
      </c>
      <c r="E353" t="s">
        <v>16</v>
      </c>
      <c r="F353" t="s">
        <v>16</v>
      </c>
      <c r="G353">
        <f t="shared" si="11"/>
        <v>0</v>
      </c>
    </row>
    <row r="354" spans="1:7">
      <c r="A354">
        <v>1986</v>
      </c>
      <c r="B354" t="s">
        <v>310</v>
      </c>
      <c r="C354" t="s">
        <v>301</v>
      </c>
      <c r="D354" t="s">
        <v>16</v>
      </c>
      <c r="E354" t="s">
        <v>16</v>
      </c>
      <c r="F354" t="s">
        <v>16</v>
      </c>
      <c r="G354">
        <f t="shared" si="11"/>
        <v>0</v>
      </c>
    </row>
    <row r="355" spans="1:7">
      <c r="A355">
        <v>1986</v>
      </c>
      <c r="B355" t="s">
        <v>310</v>
      </c>
      <c r="C355" t="s">
        <v>301</v>
      </c>
      <c r="D355" t="s">
        <v>16</v>
      </c>
      <c r="E355" t="s">
        <v>16</v>
      </c>
      <c r="F355" t="s">
        <v>16</v>
      </c>
      <c r="G355">
        <f t="shared" si="11"/>
        <v>0</v>
      </c>
    </row>
    <row r="356" spans="1:7">
      <c r="A356">
        <v>1987</v>
      </c>
      <c r="B356" t="s">
        <v>310</v>
      </c>
      <c r="C356" t="s">
        <v>301</v>
      </c>
      <c r="D356" t="s">
        <v>16</v>
      </c>
      <c r="E356" t="s">
        <v>16</v>
      </c>
      <c r="F356" t="s">
        <v>16</v>
      </c>
      <c r="G356">
        <f t="shared" si="11"/>
        <v>0</v>
      </c>
    </row>
    <row r="357" spans="1:7">
      <c r="A357">
        <v>1987</v>
      </c>
      <c r="B357" t="s">
        <v>310</v>
      </c>
      <c r="C357" t="s">
        <v>301</v>
      </c>
      <c r="D357" t="s">
        <v>16</v>
      </c>
      <c r="E357" t="s">
        <v>16</v>
      </c>
      <c r="F357" t="s">
        <v>16</v>
      </c>
      <c r="G357">
        <f t="shared" si="11"/>
        <v>0</v>
      </c>
    </row>
    <row r="358" spans="1:7">
      <c r="A358">
        <v>1987</v>
      </c>
      <c r="B358" t="s">
        <v>310</v>
      </c>
      <c r="C358" t="s">
        <v>301</v>
      </c>
      <c r="D358" t="s">
        <v>16</v>
      </c>
      <c r="E358" t="s">
        <v>16</v>
      </c>
      <c r="F358" t="s">
        <v>16</v>
      </c>
      <c r="G358">
        <f t="shared" si="11"/>
        <v>0</v>
      </c>
    </row>
    <row r="359" spans="1:7">
      <c r="A359">
        <v>1987</v>
      </c>
      <c r="B359" t="s">
        <v>310</v>
      </c>
      <c r="C359" t="s">
        <v>301</v>
      </c>
      <c r="D359" t="s">
        <v>16</v>
      </c>
      <c r="E359" t="s">
        <v>16</v>
      </c>
      <c r="F359" t="s">
        <v>16</v>
      </c>
      <c r="G359">
        <f t="shared" si="11"/>
        <v>0</v>
      </c>
    </row>
    <row r="360" spans="1:7">
      <c r="A360">
        <v>1987</v>
      </c>
      <c r="B360" t="s">
        <v>310</v>
      </c>
      <c r="C360" t="s">
        <v>301</v>
      </c>
      <c r="D360" t="s">
        <v>16</v>
      </c>
      <c r="E360" t="s">
        <v>16</v>
      </c>
      <c r="F360" t="s">
        <v>16</v>
      </c>
      <c r="G360">
        <f t="shared" si="11"/>
        <v>0</v>
      </c>
    </row>
    <row r="361" spans="1:7">
      <c r="A361">
        <v>1987</v>
      </c>
      <c r="B361" t="s">
        <v>310</v>
      </c>
      <c r="C361" t="s">
        <v>301</v>
      </c>
      <c r="D361" t="s">
        <v>16</v>
      </c>
      <c r="E361" t="s">
        <v>16</v>
      </c>
      <c r="F361" t="s">
        <v>16</v>
      </c>
      <c r="G361">
        <f t="shared" si="11"/>
        <v>0</v>
      </c>
    </row>
    <row r="362" spans="1:7">
      <c r="A362">
        <v>1987</v>
      </c>
      <c r="B362" t="s">
        <v>310</v>
      </c>
      <c r="C362" t="s">
        <v>301</v>
      </c>
      <c r="D362" t="s">
        <v>16</v>
      </c>
      <c r="E362" t="s">
        <v>16</v>
      </c>
      <c r="F362" t="s">
        <v>16</v>
      </c>
      <c r="G362">
        <f t="shared" si="11"/>
        <v>0</v>
      </c>
    </row>
    <row r="363" spans="1:7">
      <c r="A363">
        <v>1988</v>
      </c>
      <c r="B363" t="s">
        <v>310</v>
      </c>
      <c r="C363" t="s">
        <v>301</v>
      </c>
      <c r="D363" t="s">
        <v>16</v>
      </c>
      <c r="E363" t="s">
        <v>16</v>
      </c>
      <c r="F363" t="s">
        <v>16</v>
      </c>
      <c r="G363">
        <f t="shared" si="11"/>
        <v>0</v>
      </c>
    </row>
    <row r="364" spans="1:7">
      <c r="A364">
        <v>1988</v>
      </c>
      <c r="B364" t="s">
        <v>310</v>
      </c>
      <c r="C364" t="s">
        <v>301</v>
      </c>
      <c r="D364" t="s">
        <v>16</v>
      </c>
      <c r="E364" t="s">
        <v>16</v>
      </c>
      <c r="F364" t="s">
        <v>16</v>
      </c>
      <c r="G364">
        <f t="shared" si="11"/>
        <v>0</v>
      </c>
    </row>
    <row r="365" spans="1:7">
      <c r="A365">
        <v>1988</v>
      </c>
      <c r="B365" t="s">
        <v>310</v>
      </c>
      <c r="C365" t="s">
        <v>301</v>
      </c>
      <c r="D365" t="s">
        <v>16</v>
      </c>
      <c r="E365" t="s">
        <v>16</v>
      </c>
      <c r="F365" t="s">
        <v>16</v>
      </c>
      <c r="G365">
        <f t="shared" si="11"/>
        <v>0</v>
      </c>
    </row>
    <row r="366" spans="1:7">
      <c r="A366">
        <v>1988</v>
      </c>
      <c r="B366" t="s">
        <v>310</v>
      </c>
      <c r="C366" t="s">
        <v>301</v>
      </c>
      <c r="D366" t="s">
        <v>16</v>
      </c>
      <c r="E366" t="s">
        <v>16</v>
      </c>
      <c r="F366" t="s">
        <v>16</v>
      </c>
      <c r="G366">
        <f t="shared" si="11"/>
        <v>0</v>
      </c>
    </row>
    <row r="367" spans="1:7">
      <c r="A367">
        <v>1988</v>
      </c>
      <c r="B367" t="s">
        <v>310</v>
      </c>
      <c r="C367" t="s">
        <v>301</v>
      </c>
      <c r="D367" t="s">
        <v>16</v>
      </c>
      <c r="E367" t="s">
        <v>16</v>
      </c>
      <c r="F367" t="s">
        <v>16</v>
      </c>
      <c r="G367">
        <f t="shared" si="11"/>
        <v>0</v>
      </c>
    </row>
    <row r="368" spans="1:7">
      <c r="A368">
        <v>1988</v>
      </c>
      <c r="B368" t="s">
        <v>310</v>
      </c>
      <c r="C368" t="s">
        <v>301</v>
      </c>
      <c r="D368" t="s">
        <v>16</v>
      </c>
      <c r="E368" t="s">
        <v>16</v>
      </c>
      <c r="F368" t="s">
        <v>16</v>
      </c>
      <c r="G368">
        <f t="shared" si="11"/>
        <v>0</v>
      </c>
    </row>
    <row r="369" spans="1:7">
      <c r="A369">
        <v>1988</v>
      </c>
      <c r="B369" t="s">
        <v>310</v>
      </c>
      <c r="C369" t="s">
        <v>301</v>
      </c>
      <c r="D369" t="s">
        <v>16</v>
      </c>
      <c r="E369" t="s">
        <v>16</v>
      </c>
      <c r="F369" t="s">
        <v>16</v>
      </c>
      <c r="G369">
        <f t="shared" si="11"/>
        <v>0</v>
      </c>
    </row>
    <row r="370" spans="1:7">
      <c r="A370">
        <v>1988</v>
      </c>
      <c r="B370" t="s">
        <v>310</v>
      </c>
      <c r="C370" t="s">
        <v>301</v>
      </c>
      <c r="D370" t="s">
        <v>16</v>
      </c>
      <c r="E370" t="s">
        <v>16</v>
      </c>
      <c r="F370" t="s">
        <v>16</v>
      </c>
      <c r="G370">
        <f t="shared" si="11"/>
        <v>0</v>
      </c>
    </row>
    <row r="371" spans="1:7">
      <c r="A371">
        <v>1989</v>
      </c>
      <c r="B371" t="s">
        <v>310</v>
      </c>
      <c r="C371" t="s">
        <v>301</v>
      </c>
      <c r="D371" t="s">
        <v>16</v>
      </c>
      <c r="E371" t="s">
        <v>16</v>
      </c>
      <c r="F371" t="s">
        <v>16</v>
      </c>
      <c r="G371">
        <f t="shared" si="11"/>
        <v>0</v>
      </c>
    </row>
    <row r="372" spans="1:7">
      <c r="A372">
        <v>1989</v>
      </c>
      <c r="B372" t="s">
        <v>310</v>
      </c>
      <c r="C372" t="s">
        <v>301</v>
      </c>
      <c r="D372" t="s">
        <v>16</v>
      </c>
      <c r="E372" t="s">
        <v>16</v>
      </c>
      <c r="F372" t="s">
        <v>16</v>
      </c>
      <c r="G372">
        <f t="shared" si="11"/>
        <v>0</v>
      </c>
    </row>
    <row r="373" spans="1:7">
      <c r="A373">
        <v>1989</v>
      </c>
      <c r="B373" t="s">
        <v>310</v>
      </c>
      <c r="C373" t="s">
        <v>301</v>
      </c>
      <c r="D373" t="s">
        <v>16</v>
      </c>
      <c r="E373" t="s">
        <v>16</v>
      </c>
      <c r="F373" t="s">
        <v>16</v>
      </c>
      <c r="G373">
        <f t="shared" si="11"/>
        <v>0</v>
      </c>
    </row>
    <row r="374" spans="1:7">
      <c r="A374">
        <v>1989</v>
      </c>
      <c r="B374" t="s">
        <v>310</v>
      </c>
      <c r="C374" t="s">
        <v>301</v>
      </c>
      <c r="D374" t="s">
        <v>16</v>
      </c>
      <c r="E374" t="s">
        <v>16</v>
      </c>
      <c r="F374" t="s">
        <v>16</v>
      </c>
      <c r="G374">
        <f t="shared" si="11"/>
        <v>0</v>
      </c>
    </row>
    <row r="375" spans="1:7">
      <c r="A375">
        <v>1989</v>
      </c>
      <c r="B375" t="s">
        <v>310</v>
      </c>
      <c r="C375" t="s">
        <v>301</v>
      </c>
      <c r="D375" t="s">
        <v>16</v>
      </c>
      <c r="E375" t="s">
        <v>16</v>
      </c>
      <c r="F375" t="s">
        <v>16</v>
      </c>
      <c r="G375">
        <f t="shared" si="11"/>
        <v>0</v>
      </c>
    </row>
    <row r="376" spans="1:7">
      <c r="A376">
        <v>1989</v>
      </c>
      <c r="B376" t="s">
        <v>310</v>
      </c>
      <c r="C376" t="s">
        <v>301</v>
      </c>
      <c r="D376" t="s">
        <v>16</v>
      </c>
      <c r="E376" t="s">
        <v>16</v>
      </c>
      <c r="F376" t="s">
        <v>16</v>
      </c>
      <c r="G376">
        <f t="shared" si="11"/>
        <v>0</v>
      </c>
    </row>
    <row r="377" spans="1:7">
      <c r="A377">
        <v>1989</v>
      </c>
      <c r="B377" t="s">
        <v>310</v>
      </c>
      <c r="C377" t="s">
        <v>301</v>
      </c>
      <c r="D377" t="s">
        <v>16</v>
      </c>
      <c r="E377" t="s">
        <v>16</v>
      </c>
      <c r="F377" t="s">
        <v>16</v>
      </c>
      <c r="G377">
        <f t="shared" si="11"/>
        <v>0</v>
      </c>
    </row>
    <row r="378" spans="1:7">
      <c r="A378">
        <v>1990</v>
      </c>
      <c r="B378" t="s">
        <v>310</v>
      </c>
      <c r="C378" t="s">
        <v>301</v>
      </c>
      <c r="D378" t="s">
        <v>16</v>
      </c>
      <c r="E378" t="s">
        <v>16</v>
      </c>
      <c r="F378" t="s">
        <v>16</v>
      </c>
      <c r="G378">
        <f t="shared" si="11"/>
        <v>0</v>
      </c>
    </row>
    <row r="379" spans="1:7">
      <c r="A379">
        <v>1990</v>
      </c>
      <c r="B379" t="s">
        <v>310</v>
      </c>
      <c r="C379" t="s">
        <v>301</v>
      </c>
      <c r="D379" t="s">
        <v>16</v>
      </c>
      <c r="E379" t="s">
        <v>16</v>
      </c>
      <c r="F379" t="s">
        <v>16</v>
      </c>
      <c r="G379">
        <f t="shared" si="11"/>
        <v>0</v>
      </c>
    </row>
    <row r="380" spans="1:7">
      <c r="A380">
        <v>1990</v>
      </c>
      <c r="B380" t="s">
        <v>310</v>
      </c>
      <c r="C380" t="s">
        <v>301</v>
      </c>
      <c r="D380" t="s">
        <v>16</v>
      </c>
      <c r="E380" t="s">
        <v>16</v>
      </c>
      <c r="F380" t="s">
        <v>16</v>
      </c>
      <c r="G380">
        <f t="shared" si="11"/>
        <v>0</v>
      </c>
    </row>
    <row r="381" spans="1:7">
      <c r="A381">
        <v>1990</v>
      </c>
      <c r="B381" t="s">
        <v>310</v>
      </c>
      <c r="C381" t="s">
        <v>301</v>
      </c>
      <c r="D381" t="s">
        <v>16</v>
      </c>
      <c r="E381" t="s">
        <v>16</v>
      </c>
      <c r="F381" t="s">
        <v>16</v>
      </c>
      <c r="G381">
        <f t="shared" si="11"/>
        <v>0</v>
      </c>
    </row>
    <row r="382" spans="1:7">
      <c r="A382">
        <v>1990</v>
      </c>
      <c r="B382" t="s">
        <v>310</v>
      </c>
      <c r="C382" t="s">
        <v>301</v>
      </c>
      <c r="D382" t="s">
        <v>16</v>
      </c>
      <c r="E382" t="s">
        <v>16</v>
      </c>
      <c r="F382" t="s">
        <v>16</v>
      </c>
      <c r="G382">
        <f t="shared" si="11"/>
        <v>0</v>
      </c>
    </row>
    <row r="383" spans="1:7">
      <c r="A383">
        <v>1990</v>
      </c>
      <c r="B383" t="s">
        <v>310</v>
      </c>
      <c r="C383" t="s">
        <v>301</v>
      </c>
      <c r="D383" t="s">
        <v>16</v>
      </c>
      <c r="E383" t="s">
        <v>16</v>
      </c>
      <c r="F383" t="s">
        <v>16</v>
      </c>
      <c r="G383">
        <f t="shared" si="11"/>
        <v>0</v>
      </c>
    </row>
    <row r="384" spans="1:7">
      <c r="A384">
        <v>1990</v>
      </c>
      <c r="B384" t="s">
        <v>310</v>
      </c>
      <c r="C384" t="s">
        <v>301</v>
      </c>
      <c r="D384" t="s">
        <v>16</v>
      </c>
      <c r="E384" t="s">
        <v>16</v>
      </c>
      <c r="F384" t="s">
        <v>16</v>
      </c>
      <c r="G384">
        <f t="shared" si="11"/>
        <v>0</v>
      </c>
    </row>
    <row r="385" spans="1:7">
      <c r="A385">
        <v>1990</v>
      </c>
      <c r="B385" t="s">
        <v>310</v>
      </c>
      <c r="C385" t="s">
        <v>301</v>
      </c>
      <c r="D385" t="s">
        <v>16</v>
      </c>
      <c r="E385" t="s">
        <v>16</v>
      </c>
      <c r="F385" t="s">
        <v>16</v>
      </c>
      <c r="G385">
        <f t="shared" si="11"/>
        <v>0</v>
      </c>
    </row>
    <row r="386" spans="1:7">
      <c r="A386">
        <v>1990</v>
      </c>
      <c r="B386" t="s">
        <v>310</v>
      </c>
      <c r="C386" t="s">
        <v>301</v>
      </c>
      <c r="D386" t="s">
        <v>16</v>
      </c>
      <c r="E386" t="s">
        <v>16</v>
      </c>
      <c r="F386" t="s">
        <v>16</v>
      </c>
      <c r="G386">
        <f t="shared" si="11"/>
        <v>0</v>
      </c>
    </row>
    <row r="387" spans="1:7">
      <c r="A387">
        <v>1990</v>
      </c>
      <c r="B387" t="s">
        <v>310</v>
      </c>
      <c r="C387" t="s">
        <v>301</v>
      </c>
      <c r="D387" t="s">
        <v>16</v>
      </c>
      <c r="E387" t="s">
        <v>16</v>
      </c>
      <c r="F387" t="s">
        <v>16</v>
      </c>
      <c r="G387">
        <f t="shared" ref="G387:G398" si="12">SUM(D387:F387)</f>
        <v>0</v>
      </c>
    </row>
    <row r="388" spans="1:7">
      <c r="A388">
        <v>1983</v>
      </c>
      <c r="B388" t="s">
        <v>310</v>
      </c>
      <c r="C388" t="s">
        <v>324</v>
      </c>
      <c r="D388" t="s">
        <v>16</v>
      </c>
      <c r="E388" t="s">
        <v>16</v>
      </c>
      <c r="F388" t="s">
        <v>16</v>
      </c>
      <c r="G388">
        <f t="shared" si="12"/>
        <v>0</v>
      </c>
    </row>
    <row r="389" spans="1:7">
      <c r="A389">
        <v>1984</v>
      </c>
      <c r="B389" t="s">
        <v>310</v>
      </c>
      <c r="C389" t="s">
        <v>324</v>
      </c>
      <c r="D389" t="s">
        <v>16</v>
      </c>
      <c r="E389" t="s">
        <v>16</v>
      </c>
      <c r="F389" t="s">
        <v>16</v>
      </c>
      <c r="G389">
        <f t="shared" si="12"/>
        <v>0</v>
      </c>
    </row>
    <row r="390" spans="1:7">
      <c r="A390">
        <v>1985</v>
      </c>
      <c r="B390" t="s">
        <v>310</v>
      </c>
      <c r="C390" t="s">
        <v>324</v>
      </c>
      <c r="D390" t="s">
        <v>16</v>
      </c>
      <c r="E390" t="s">
        <v>16</v>
      </c>
      <c r="F390" t="s">
        <v>16</v>
      </c>
      <c r="G390">
        <f t="shared" si="12"/>
        <v>0</v>
      </c>
    </row>
    <row r="391" spans="1:7">
      <c r="A391">
        <v>1986</v>
      </c>
      <c r="B391" t="s">
        <v>310</v>
      </c>
      <c r="C391" t="s">
        <v>324</v>
      </c>
      <c r="D391" t="s">
        <v>16</v>
      </c>
      <c r="E391" t="s">
        <v>16</v>
      </c>
      <c r="F391" t="s">
        <v>16</v>
      </c>
      <c r="G391">
        <f t="shared" si="12"/>
        <v>0</v>
      </c>
    </row>
    <row r="392" spans="1:7">
      <c r="A392">
        <v>1986</v>
      </c>
      <c r="B392" t="s">
        <v>310</v>
      </c>
      <c r="C392" t="s">
        <v>324</v>
      </c>
      <c r="D392" t="s">
        <v>16</v>
      </c>
      <c r="E392" t="s">
        <v>16</v>
      </c>
      <c r="F392" t="s">
        <v>16</v>
      </c>
      <c r="G392">
        <f t="shared" si="12"/>
        <v>0</v>
      </c>
    </row>
    <row r="393" spans="1:7">
      <c r="A393">
        <v>1983</v>
      </c>
      <c r="B393" t="s">
        <v>310</v>
      </c>
      <c r="C393" t="s">
        <v>325</v>
      </c>
      <c r="D393" t="s">
        <v>16</v>
      </c>
      <c r="E393" t="s">
        <v>16</v>
      </c>
      <c r="F393" t="s">
        <v>16</v>
      </c>
      <c r="G393">
        <f t="shared" si="12"/>
        <v>0</v>
      </c>
    </row>
    <row r="394" spans="1:7">
      <c r="G394">
        <f t="shared" si="12"/>
        <v>0</v>
      </c>
    </row>
    <row r="395" spans="1:7">
      <c r="G395">
        <f t="shared" si="12"/>
        <v>0</v>
      </c>
    </row>
    <row r="396" spans="1:7">
      <c r="G396">
        <f t="shared" si="12"/>
        <v>0</v>
      </c>
    </row>
    <row r="397" spans="1:7">
      <c r="G397">
        <f t="shared" si="12"/>
        <v>0</v>
      </c>
    </row>
    <row r="398" spans="1:7">
      <c r="G398">
        <f t="shared" si="12"/>
        <v>0</v>
      </c>
    </row>
  </sheetData>
  <autoFilter ref="C1:C393" xr:uid="{00000000-0009-0000-0000-000001000000}"/>
  <sortState xmlns:xlrd2="http://schemas.microsoft.com/office/spreadsheetml/2017/richdata2" ref="A2:G393">
    <sortCondition descending="1" ref="B2:B393"/>
    <sortCondition ref="C2:C393"/>
    <sortCondition ref="A2:A393"/>
  </sortState>
  <mergeCells count="1">
    <mergeCell ref="J13:L13"/>
  </mergeCells>
  <pageMargins left="0.75" right="0.75" top="1" bottom="1" header="0.5" footer="0.5"/>
  <pageSetup orientation="portrait"/>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93"/>
  <sheetViews>
    <sheetView zoomScale="85" zoomScaleNormal="85" workbookViewId="0">
      <selection activeCell="H2" sqref="H2"/>
    </sheetView>
  </sheetViews>
  <sheetFormatPr defaultColWidth="9" defaultRowHeight="12.75"/>
  <cols>
    <col min="1" max="2" width="13.28515625" customWidth="1"/>
    <col min="3" max="3" width="19.28515625" customWidth="1"/>
    <col min="4" max="5" width="13.28515625" customWidth="1"/>
    <col min="7" max="7" width="15.7109375" customWidth="1"/>
    <col min="8" max="8" width="11.85546875" customWidth="1"/>
  </cols>
  <sheetData>
    <row r="1" spans="1:17">
      <c r="A1" t="s">
        <v>326</v>
      </c>
      <c r="B1" t="s">
        <v>327</v>
      </c>
      <c r="C1" t="s">
        <v>328</v>
      </c>
      <c r="D1" t="s">
        <v>329</v>
      </c>
      <c r="E1" t="s">
        <v>330</v>
      </c>
      <c r="F1" t="s">
        <v>331</v>
      </c>
    </row>
    <row r="2" spans="1:17">
      <c r="A2">
        <v>1985</v>
      </c>
      <c r="B2" t="s">
        <v>310</v>
      </c>
      <c r="C2" t="s">
        <v>55</v>
      </c>
      <c r="D2">
        <v>11</v>
      </c>
      <c r="E2">
        <f>IF(AND(C2=C1,D2=D1),1,0)</f>
        <v>0</v>
      </c>
      <c r="F2">
        <v>1</v>
      </c>
    </row>
    <row r="3" spans="1:17">
      <c r="A3">
        <v>1986</v>
      </c>
      <c r="B3" t="s">
        <v>310</v>
      </c>
      <c r="C3" t="s">
        <v>311</v>
      </c>
      <c r="D3">
        <v>11</v>
      </c>
      <c r="E3">
        <f t="shared" ref="E3:E66" si="0">IF(AND(C3=C2,D3=D2),1,0)</f>
        <v>0</v>
      </c>
      <c r="F3">
        <v>1</v>
      </c>
    </row>
    <row r="4" spans="1:17">
      <c r="A4">
        <v>1987</v>
      </c>
      <c r="B4" t="s">
        <v>310</v>
      </c>
      <c r="C4" t="s">
        <v>311</v>
      </c>
      <c r="D4">
        <v>11</v>
      </c>
      <c r="E4">
        <f t="shared" si="0"/>
        <v>1</v>
      </c>
      <c r="F4">
        <v>1</v>
      </c>
      <c r="G4" s="1" t="s">
        <v>332</v>
      </c>
    </row>
    <row r="5" spans="1:17">
      <c r="A5">
        <v>1988</v>
      </c>
      <c r="B5" t="s">
        <v>310</v>
      </c>
      <c r="C5" t="s">
        <v>311</v>
      </c>
      <c r="D5">
        <v>11</v>
      </c>
      <c r="E5">
        <f t="shared" si="0"/>
        <v>1</v>
      </c>
      <c r="F5">
        <v>1</v>
      </c>
      <c r="I5">
        <v>1983</v>
      </c>
      <c r="J5">
        <v>1984</v>
      </c>
      <c r="K5">
        <v>1985</v>
      </c>
      <c r="L5">
        <v>1986</v>
      </c>
      <c r="M5">
        <v>1987</v>
      </c>
      <c r="N5">
        <v>1988</v>
      </c>
      <c r="O5">
        <v>1989</v>
      </c>
      <c r="P5">
        <v>1990</v>
      </c>
      <c r="Q5">
        <v>1991</v>
      </c>
    </row>
    <row r="6" spans="1:17">
      <c r="A6">
        <v>1989</v>
      </c>
      <c r="B6" t="s">
        <v>310</v>
      </c>
      <c r="C6" t="s">
        <v>317</v>
      </c>
      <c r="D6">
        <v>11</v>
      </c>
      <c r="E6">
        <f t="shared" si="0"/>
        <v>0</v>
      </c>
      <c r="F6">
        <v>1</v>
      </c>
      <c r="H6" t="s">
        <v>333</v>
      </c>
    </row>
    <row r="7" spans="1:17">
      <c r="A7">
        <v>1990</v>
      </c>
      <c r="B7" t="s">
        <v>310</v>
      </c>
      <c r="C7" t="s">
        <v>55</v>
      </c>
      <c r="D7">
        <v>11</v>
      </c>
      <c r="E7">
        <f t="shared" si="0"/>
        <v>0</v>
      </c>
      <c r="F7">
        <v>1</v>
      </c>
      <c r="G7" t="s">
        <v>298</v>
      </c>
      <c r="H7" t="s">
        <v>334</v>
      </c>
    </row>
    <row r="8" spans="1:17">
      <c r="A8">
        <v>1983</v>
      </c>
      <c r="B8" t="s">
        <v>310</v>
      </c>
      <c r="C8" t="s">
        <v>312</v>
      </c>
      <c r="D8">
        <v>13</v>
      </c>
      <c r="E8">
        <f t="shared" si="0"/>
        <v>0</v>
      </c>
      <c r="F8">
        <v>1</v>
      </c>
      <c r="H8" t="s">
        <v>335</v>
      </c>
      <c r="I8" s="4"/>
      <c r="J8" s="4"/>
      <c r="K8" s="4"/>
      <c r="L8" s="4"/>
      <c r="M8" s="4"/>
      <c r="N8" s="4"/>
      <c r="O8" s="4"/>
      <c r="P8" s="4"/>
      <c r="Q8" s="4"/>
    </row>
    <row r="9" spans="1:17">
      <c r="A9">
        <v>1984</v>
      </c>
      <c r="B9" t="s">
        <v>310</v>
      </c>
      <c r="C9" t="s">
        <v>312</v>
      </c>
      <c r="D9">
        <v>13</v>
      </c>
      <c r="E9">
        <f t="shared" si="0"/>
        <v>1</v>
      </c>
      <c r="F9">
        <v>1</v>
      </c>
      <c r="G9" s="1" t="s">
        <v>336</v>
      </c>
    </row>
    <row r="10" spans="1:17">
      <c r="A10">
        <v>1985</v>
      </c>
      <c r="B10" t="s">
        <v>310</v>
      </c>
      <c r="C10" t="s">
        <v>312</v>
      </c>
      <c r="D10">
        <v>13</v>
      </c>
      <c r="E10">
        <f t="shared" si="0"/>
        <v>1</v>
      </c>
      <c r="F10">
        <v>1</v>
      </c>
      <c r="G10" t="s">
        <v>310</v>
      </c>
      <c r="H10" t="s">
        <v>333</v>
      </c>
    </row>
    <row r="11" spans="1:17">
      <c r="A11">
        <v>1986</v>
      </c>
      <c r="B11" t="s">
        <v>310</v>
      </c>
      <c r="C11" t="s">
        <v>312</v>
      </c>
      <c r="D11">
        <v>13</v>
      </c>
      <c r="E11">
        <f t="shared" si="0"/>
        <v>1</v>
      </c>
      <c r="F11">
        <v>1</v>
      </c>
      <c r="H11" t="s">
        <v>334</v>
      </c>
    </row>
    <row r="12" spans="1:17">
      <c r="A12">
        <v>1987</v>
      </c>
      <c r="B12" t="s">
        <v>310</v>
      </c>
      <c r="C12" t="s">
        <v>312</v>
      </c>
      <c r="D12">
        <v>13</v>
      </c>
      <c r="E12">
        <f t="shared" si="0"/>
        <v>1</v>
      </c>
      <c r="F12">
        <v>1</v>
      </c>
      <c r="H12" t="s">
        <v>335</v>
      </c>
      <c r="I12" s="4"/>
      <c r="J12" s="4"/>
      <c r="K12" s="4"/>
      <c r="L12" s="4"/>
      <c r="M12" s="4"/>
      <c r="N12" s="4"/>
      <c r="O12" s="4"/>
      <c r="P12" s="4"/>
      <c r="Q12" s="4"/>
    </row>
    <row r="13" spans="1:17">
      <c r="A13">
        <v>1988</v>
      </c>
      <c r="B13" t="s">
        <v>310</v>
      </c>
      <c r="C13" t="s">
        <v>312</v>
      </c>
      <c r="D13">
        <v>13</v>
      </c>
      <c r="E13">
        <f t="shared" si="0"/>
        <v>1</v>
      </c>
      <c r="F13">
        <v>1</v>
      </c>
    </row>
    <row r="14" spans="1:17">
      <c r="A14">
        <v>1989</v>
      </c>
      <c r="B14" t="s">
        <v>310</v>
      </c>
      <c r="C14" t="s">
        <v>299</v>
      </c>
      <c r="D14">
        <v>13</v>
      </c>
      <c r="E14">
        <f t="shared" si="0"/>
        <v>0</v>
      </c>
      <c r="F14">
        <v>1</v>
      </c>
      <c r="I14" s="7"/>
      <c r="J14" s="7"/>
      <c r="K14" s="7"/>
      <c r="L14" s="7"/>
      <c r="M14" s="7"/>
      <c r="N14" s="7"/>
      <c r="O14" s="7"/>
      <c r="P14" s="7"/>
      <c r="Q14" s="7"/>
    </row>
    <row r="15" spans="1:17">
      <c r="A15">
        <v>1990</v>
      </c>
      <c r="B15" t="s">
        <v>310</v>
      </c>
      <c r="C15" t="s">
        <v>299</v>
      </c>
      <c r="D15">
        <v>13</v>
      </c>
      <c r="E15">
        <f t="shared" si="0"/>
        <v>1</v>
      </c>
      <c r="F15">
        <v>1</v>
      </c>
    </row>
    <row r="16" spans="1:17">
      <c r="A16">
        <v>1983</v>
      </c>
      <c r="B16" t="s">
        <v>298</v>
      </c>
      <c r="C16" t="s">
        <v>301</v>
      </c>
      <c r="D16">
        <v>26</v>
      </c>
      <c r="E16">
        <f t="shared" si="0"/>
        <v>0</v>
      </c>
      <c r="F16">
        <v>1</v>
      </c>
    </row>
    <row r="17" spans="1:6">
      <c r="A17">
        <v>1984</v>
      </c>
      <c r="B17" t="s">
        <v>298</v>
      </c>
      <c r="C17" t="s">
        <v>301</v>
      </c>
      <c r="D17">
        <v>26</v>
      </c>
      <c r="E17">
        <f t="shared" si="0"/>
        <v>1</v>
      </c>
      <c r="F17">
        <v>1</v>
      </c>
    </row>
    <row r="18" spans="1:6">
      <c r="A18">
        <v>1985</v>
      </c>
      <c r="B18" t="s">
        <v>298</v>
      </c>
      <c r="C18" t="s">
        <v>301</v>
      </c>
      <c r="D18">
        <v>26</v>
      </c>
      <c r="E18">
        <f t="shared" si="0"/>
        <v>1</v>
      </c>
      <c r="F18">
        <v>1</v>
      </c>
    </row>
    <row r="19" spans="1:6">
      <c r="A19">
        <v>1986</v>
      </c>
      <c r="B19" t="s">
        <v>298</v>
      </c>
      <c r="C19" t="s">
        <v>301</v>
      </c>
      <c r="D19">
        <v>26</v>
      </c>
      <c r="E19">
        <f t="shared" si="0"/>
        <v>1</v>
      </c>
      <c r="F19">
        <v>1</v>
      </c>
    </row>
    <row r="20" spans="1:6">
      <c r="A20">
        <v>1987</v>
      </c>
      <c r="B20" t="s">
        <v>298</v>
      </c>
      <c r="C20" t="s">
        <v>301</v>
      </c>
      <c r="D20">
        <v>26</v>
      </c>
      <c r="E20">
        <f t="shared" si="0"/>
        <v>1</v>
      </c>
      <c r="F20">
        <v>1</v>
      </c>
    </row>
    <row r="21" spans="1:6">
      <c r="A21">
        <v>1988</v>
      </c>
      <c r="B21" t="s">
        <v>298</v>
      </c>
      <c r="C21" t="s">
        <v>301</v>
      </c>
      <c r="D21">
        <v>26</v>
      </c>
      <c r="E21">
        <f t="shared" si="0"/>
        <v>1</v>
      </c>
      <c r="F21">
        <v>1</v>
      </c>
    </row>
    <row r="22" spans="1:6">
      <c r="A22">
        <v>1989</v>
      </c>
      <c r="B22" t="s">
        <v>298</v>
      </c>
      <c r="C22" t="s">
        <v>299</v>
      </c>
      <c r="D22">
        <v>26</v>
      </c>
      <c r="E22">
        <f t="shared" si="0"/>
        <v>0</v>
      </c>
      <c r="F22">
        <v>1</v>
      </c>
    </row>
    <row r="23" spans="1:6">
      <c r="A23">
        <v>1990</v>
      </c>
      <c r="B23" t="s">
        <v>298</v>
      </c>
      <c r="C23" t="s">
        <v>299</v>
      </c>
      <c r="D23">
        <v>26</v>
      </c>
      <c r="E23">
        <f t="shared" si="0"/>
        <v>1</v>
      </c>
      <c r="F23">
        <v>1</v>
      </c>
    </row>
    <row r="24" spans="1:6">
      <c r="A24">
        <v>1991</v>
      </c>
      <c r="B24" t="s">
        <v>298</v>
      </c>
      <c r="C24" t="s">
        <v>299</v>
      </c>
      <c r="D24">
        <v>26</v>
      </c>
      <c r="E24">
        <f t="shared" si="0"/>
        <v>1</v>
      </c>
      <c r="F24">
        <v>1</v>
      </c>
    </row>
    <row r="25" spans="1:6">
      <c r="A25">
        <v>1983</v>
      </c>
      <c r="B25" t="s">
        <v>298</v>
      </c>
      <c r="C25" t="s">
        <v>301</v>
      </c>
      <c r="D25">
        <v>32</v>
      </c>
      <c r="E25">
        <f t="shared" si="0"/>
        <v>0</v>
      </c>
      <c r="F25">
        <v>1</v>
      </c>
    </row>
    <row r="26" spans="1:6">
      <c r="A26">
        <v>1984</v>
      </c>
      <c r="B26" t="s">
        <v>298</v>
      </c>
      <c r="C26" t="s">
        <v>301</v>
      </c>
      <c r="D26">
        <v>32</v>
      </c>
      <c r="E26">
        <f t="shared" si="0"/>
        <v>1</v>
      </c>
      <c r="F26">
        <v>1</v>
      </c>
    </row>
    <row r="27" spans="1:6">
      <c r="A27">
        <v>1985</v>
      </c>
      <c r="B27" t="s">
        <v>298</v>
      </c>
      <c r="C27" t="s">
        <v>301</v>
      </c>
      <c r="D27">
        <v>32</v>
      </c>
      <c r="E27">
        <f t="shared" si="0"/>
        <v>1</v>
      </c>
      <c r="F27">
        <v>1</v>
      </c>
    </row>
    <row r="28" spans="1:6">
      <c r="A28">
        <v>1986</v>
      </c>
      <c r="B28" t="s">
        <v>298</v>
      </c>
      <c r="C28" t="s">
        <v>301</v>
      </c>
      <c r="D28">
        <v>32</v>
      </c>
      <c r="E28">
        <f t="shared" si="0"/>
        <v>1</v>
      </c>
      <c r="F28">
        <v>1</v>
      </c>
    </row>
    <row r="29" spans="1:6">
      <c r="A29">
        <v>1987</v>
      </c>
      <c r="B29" t="s">
        <v>298</v>
      </c>
      <c r="C29" t="s">
        <v>301</v>
      </c>
      <c r="D29">
        <v>32</v>
      </c>
      <c r="E29">
        <f t="shared" si="0"/>
        <v>1</v>
      </c>
      <c r="F29">
        <v>1</v>
      </c>
    </row>
    <row r="30" spans="1:6">
      <c r="A30">
        <v>1988</v>
      </c>
      <c r="B30" t="s">
        <v>298</v>
      </c>
      <c r="C30" t="s">
        <v>301</v>
      </c>
      <c r="D30">
        <v>32</v>
      </c>
      <c r="E30">
        <f t="shared" si="0"/>
        <v>1</v>
      </c>
      <c r="F30">
        <v>1</v>
      </c>
    </row>
    <row r="31" spans="1:6">
      <c r="A31">
        <v>1989</v>
      </c>
      <c r="B31" t="s">
        <v>298</v>
      </c>
      <c r="C31" t="s">
        <v>299</v>
      </c>
      <c r="D31">
        <v>32</v>
      </c>
      <c r="E31">
        <f t="shared" si="0"/>
        <v>0</v>
      </c>
      <c r="F31">
        <v>1</v>
      </c>
    </row>
    <row r="32" spans="1:6">
      <c r="A32">
        <v>1990</v>
      </c>
      <c r="B32" t="s">
        <v>298</v>
      </c>
      <c r="C32" t="s">
        <v>299</v>
      </c>
      <c r="D32">
        <v>32</v>
      </c>
      <c r="E32">
        <f t="shared" si="0"/>
        <v>1</v>
      </c>
      <c r="F32">
        <v>1</v>
      </c>
    </row>
    <row r="33" spans="1:6">
      <c r="A33">
        <v>1991</v>
      </c>
      <c r="B33" t="s">
        <v>298</v>
      </c>
      <c r="C33" t="s">
        <v>299</v>
      </c>
      <c r="D33">
        <v>32</v>
      </c>
      <c r="E33">
        <f t="shared" si="0"/>
        <v>1</v>
      </c>
      <c r="F33">
        <v>1</v>
      </c>
    </row>
    <row r="34" spans="1:6">
      <c r="A34">
        <v>1983</v>
      </c>
      <c r="B34" t="s">
        <v>298</v>
      </c>
      <c r="C34" t="s">
        <v>299</v>
      </c>
      <c r="D34">
        <v>35</v>
      </c>
      <c r="E34">
        <f t="shared" si="0"/>
        <v>0</v>
      </c>
      <c r="F34">
        <v>1</v>
      </c>
    </row>
    <row r="35" spans="1:6">
      <c r="A35">
        <v>1984</v>
      </c>
      <c r="B35" t="s">
        <v>298</v>
      </c>
      <c r="C35" t="s">
        <v>299</v>
      </c>
      <c r="D35">
        <v>35</v>
      </c>
      <c r="E35">
        <f t="shared" si="0"/>
        <v>1</v>
      </c>
      <c r="F35">
        <v>1</v>
      </c>
    </row>
    <row r="36" spans="1:6">
      <c r="A36">
        <v>1985</v>
      </c>
      <c r="B36" t="s">
        <v>298</v>
      </c>
      <c r="C36" t="s">
        <v>299</v>
      </c>
      <c r="D36">
        <v>35</v>
      </c>
      <c r="E36">
        <f t="shared" si="0"/>
        <v>1</v>
      </c>
      <c r="F36">
        <v>1</v>
      </c>
    </row>
    <row r="37" spans="1:6">
      <c r="A37">
        <v>1986</v>
      </c>
      <c r="B37" t="s">
        <v>298</v>
      </c>
      <c r="C37" t="s">
        <v>299</v>
      </c>
      <c r="D37">
        <v>35</v>
      </c>
      <c r="E37">
        <f t="shared" si="0"/>
        <v>1</v>
      </c>
      <c r="F37">
        <v>1</v>
      </c>
    </row>
    <row r="38" spans="1:6">
      <c r="A38">
        <v>1987</v>
      </c>
      <c r="B38" t="s">
        <v>298</v>
      </c>
      <c r="C38" t="s">
        <v>299</v>
      </c>
      <c r="D38">
        <v>35</v>
      </c>
      <c r="E38">
        <f t="shared" si="0"/>
        <v>1</v>
      </c>
      <c r="F38">
        <v>1</v>
      </c>
    </row>
    <row r="39" spans="1:6">
      <c r="A39">
        <v>1988</v>
      </c>
      <c r="B39" t="s">
        <v>298</v>
      </c>
      <c r="C39" t="s">
        <v>299</v>
      </c>
      <c r="D39">
        <v>35</v>
      </c>
      <c r="E39">
        <f t="shared" si="0"/>
        <v>1</v>
      </c>
      <c r="F39">
        <v>1</v>
      </c>
    </row>
    <row r="40" spans="1:6">
      <c r="A40">
        <v>1989</v>
      </c>
      <c r="B40" t="s">
        <v>298</v>
      </c>
      <c r="C40" t="s">
        <v>301</v>
      </c>
      <c r="D40">
        <v>35</v>
      </c>
      <c r="E40">
        <f t="shared" si="0"/>
        <v>0</v>
      </c>
      <c r="F40">
        <v>1</v>
      </c>
    </row>
    <row r="41" spans="1:6">
      <c r="A41">
        <v>1990</v>
      </c>
      <c r="B41" t="s">
        <v>298</v>
      </c>
      <c r="C41" t="s">
        <v>301</v>
      </c>
      <c r="D41">
        <v>35</v>
      </c>
      <c r="E41">
        <f t="shared" si="0"/>
        <v>1</v>
      </c>
      <c r="F41">
        <v>1</v>
      </c>
    </row>
    <row r="42" spans="1:6">
      <c r="A42">
        <v>1991</v>
      </c>
      <c r="B42" t="s">
        <v>298</v>
      </c>
      <c r="C42" t="s">
        <v>299</v>
      </c>
      <c r="D42">
        <v>35</v>
      </c>
      <c r="E42">
        <f t="shared" si="0"/>
        <v>0</v>
      </c>
      <c r="F42">
        <v>1</v>
      </c>
    </row>
    <row r="43" spans="1:6">
      <c r="A43">
        <v>1983</v>
      </c>
      <c r="B43" t="s">
        <v>310</v>
      </c>
      <c r="C43" t="s">
        <v>311</v>
      </c>
      <c r="D43">
        <v>41</v>
      </c>
      <c r="E43">
        <f t="shared" si="0"/>
        <v>0</v>
      </c>
      <c r="F43">
        <v>1</v>
      </c>
    </row>
    <row r="44" spans="1:6">
      <c r="A44">
        <v>1984</v>
      </c>
      <c r="B44" t="s">
        <v>310</v>
      </c>
      <c r="C44" t="s">
        <v>311</v>
      </c>
      <c r="D44">
        <v>41</v>
      </c>
      <c r="E44">
        <f t="shared" si="0"/>
        <v>1</v>
      </c>
      <c r="F44">
        <v>1</v>
      </c>
    </row>
    <row r="45" spans="1:6">
      <c r="A45">
        <v>1985</v>
      </c>
      <c r="B45" t="s">
        <v>310</v>
      </c>
      <c r="C45" t="s">
        <v>311</v>
      </c>
      <c r="D45">
        <v>41</v>
      </c>
      <c r="E45">
        <f t="shared" si="0"/>
        <v>1</v>
      </c>
      <c r="F45">
        <v>1</v>
      </c>
    </row>
    <row r="46" spans="1:6">
      <c r="A46">
        <v>1986</v>
      </c>
      <c r="B46" t="s">
        <v>310</v>
      </c>
      <c r="C46" t="s">
        <v>301</v>
      </c>
      <c r="D46">
        <v>41</v>
      </c>
      <c r="E46">
        <f t="shared" si="0"/>
        <v>0</v>
      </c>
      <c r="F46">
        <v>1</v>
      </c>
    </row>
    <row r="47" spans="1:6">
      <c r="A47">
        <v>1987</v>
      </c>
      <c r="B47" t="s">
        <v>310</v>
      </c>
      <c r="C47" t="s">
        <v>301</v>
      </c>
      <c r="D47">
        <v>41</v>
      </c>
      <c r="E47">
        <f t="shared" si="0"/>
        <v>1</v>
      </c>
      <c r="F47">
        <v>1</v>
      </c>
    </row>
    <row r="48" spans="1:6">
      <c r="A48">
        <v>1988</v>
      </c>
      <c r="B48" t="s">
        <v>310</v>
      </c>
      <c r="C48" t="s">
        <v>314</v>
      </c>
      <c r="D48">
        <v>41</v>
      </c>
      <c r="E48">
        <f t="shared" si="0"/>
        <v>0</v>
      </c>
      <c r="F48">
        <v>1</v>
      </c>
    </row>
    <row r="49" spans="1:6">
      <c r="A49">
        <v>1989</v>
      </c>
      <c r="B49" t="s">
        <v>310</v>
      </c>
      <c r="C49" t="s">
        <v>55</v>
      </c>
      <c r="D49">
        <v>41</v>
      </c>
      <c r="E49">
        <f t="shared" si="0"/>
        <v>0</v>
      </c>
      <c r="F49">
        <v>1</v>
      </c>
    </row>
    <row r="50" spans="1:6">
      <c r="A50">
        <v>1990</v>
      </c>
      <c r="B50" t="s">
        <v>310</v>
      </c>
      <c r="C50" t="s">
        <v>299</v>
      </c>
      <c r="D50">
        <v>41</v>
      </c>
      <c r="E50">
        <f t="shared" si="0"/>
        <v>0</v>
      </c>
      <c r="F50">
        <v>1</v>
      </c>
    </row>
    <row r="51" spans="1:6">
      <c r="A51">
        <v>1986</v>
      </c>
      <c r="B51" t="s">
        <v>310</v>
      </c>
      <c r="C51" t="s">
        <v>301</v>
      </c>
      <c r="D51">
        <v>55</v>
      </c>
      <c r="E51">
        <f t="shared" si="0"/>
        <v>0</v>
      </c>
      <c r="F51">
        <v>1</v>
      </c>
    </row>
    <row r="52" spans="1:6">
      <c r="A52">
        <v>1987</v>
      </c>
      <c r="B52" t="s">
        <v>310</v>
      </c>
      <c r="C52" t="s">
        <v>301</v>
      </c>
      <c r="D52">
        <v>55</v>
      </c>
      <c r="E52">
        <f t="shared" si="0"/>
        <v>1</v>
      </c>
      <c r="F52">
        <v>1</v>
      </c>
    </row>
    <row r="53" spans="1:6">
      <c r="A53">
        <v>1988</v>
      </c>
      <c r="B53" t="s">
        <v>310</v>
      </c>
      <c r="C53" t="s">
        <v>301</v>
      </c>
      <c r="D53">
        <v>55</v>
      </c>
      <c r="E53">
        <f t="shared" si="0"/>
        <v>1</v>
      </c>
      <c r="F53">
        <v>1</v>
      </c>
    </row>
    <row r="54" spans="1:6">
      <c r="A54">
        <v>1989</v>
      </c>
      <c r="B54" t="s">
        <v>310</v>
      </c>
      <c r="C54" t="s">
        <v>301</v>
      </c>
      <c r="D54">
        <v>55</v>
      </c>
      <c r="E54">
        <f t="shared" si="0"/>
        <v>1</v>
      </c>
      <c r="F54">
        <v>1</v>
      </c>
    </row>
    <row r="55" spans="1:6">
      <c r="A55">
        <v>1990</v>
      </c>
      <c r="B55" t="s">
        <v>310</v>
      </c>
      <c r="C55" t="s">
        <v>301</v>
      </c>
      <c r="D55">
        <v>55</v>
      </c>
      <c r="E55">
        <f t="shared" si="0"/>
        <v>1</v>
      </c>
      <c r="F55">
        <v>1</v>
      </c>
    </row>
    <row r="56" spans="1:6">
      <c r="A56">
        <v>1983</v>
      </c>
      <c r="B56" t="s">
        <v>310</v>
      </c>
      <c r="C56" t="s">
        <v>324</v>
      </c>
      <c r="D56">
        <v>71</v>
      </c>
      <c r="E56">
        <f t="shared" si="0"/>
        <v>0</v>
      </c>
      <c r="F56">
        <v>1</v>
      </c>
    </row>
    <row r="57" spans="1:6">
      <c r="A57">
        <v>1984</v>
      </c>
      <c r="B57" t="s">
        <v>310</v>
      </c>
      <c r="C57" t="s">
        <v>319</v>
      </c>
      <c r="D57">
        <v>71</v>
      </c>
      <c r="E57">
        <f t="shared" si="0"/>
        <v>0</v>
      </c>
      <c r="F57">
        <v>1</v>
      </c>
    </row>
    <row r="58" spans="1:6">
      <c r="A58">
        <v>1985</v>
      </c>
      <c r="B58" t="s">
        <v>310</v>
      </c>
      <c r="C58" t="s">
        <v>318</v>
      </c>
      <c r="D58">
        <v>71</v>
      </c>
      <c r="E58">
        <f t="shared" si="0"/>
        <v>0</v>
      </c>
      <c r="F58">
        <v>1</v>
      </c>
    </row>
    <row r="59" spans="1:6">
      <c r="A59">
        <v>1986</v>
      </c>
      <c r="B59" t="s">
        <v>310</v>
      </c>
      <c r="C59" t="s">
        <v>317</v>
      </c>
      <c r="D59">
        <v>71</v>
      </c>
      <c r="E59">
        <f t="shared" si="0"/>
        <v>0</v>
      </c>
      <c r="F59">
        <v>1</v>
      </c>
    </row>
    <row r="60" spans="1:6">
      <c r="A60">
        <v>1987</v>
      </c>
      <c r="B60" t="s">
        <v>310</v>
      </c>
      <c r="C60" t="s">
        <v>317</v>
      </c>
      <c r="D60">
        <v>71</v>
      </c>
      <c r="E60">
        <f t="shared" si="0"/>
        <v>1</v>
      </c>
      <c r="F60">
        <v>1</v>
      </c>
    </row>
    <row r="61" spans="1:6">
      <c r="A61">
        <v>1988</v>
      </c>
      <c r="B61" t="s">
        <v>310</v>
      </c>
      <c r="C61" t="s">
        <v>314</v>
      </c>
      <c r="D61">
        <v>71</v>
      </c>
      <c r="E61">
        <f t="shared" si="0"/>
        <v>0</v>
      </c>
      <c r="F61">
        <v>1</v>
      </c>
    </row>
    <row r="62" spans="1:6">
      <c r="A62">
        <v>1989</v>
      </c>
      <c r="B62" t="s">
        <v>310</v>
      </c>
      <c r="C62" t="s">
        <v>314</v>
      </c>
      <c r="D62">
        <v>71</v>
      </c>
      <c r="E62">
        <f t="shared" si="0"/>
        <v>1</v>
      </c>
      <c r="F62">
        <v>1</v>
      </c>
    </row>
    <row r="63" spans="1:6">
      <c r="A63">
        <v>1990</v>
      </c>
      <c r="B63" t="s">
        <v>310</v>
      </c>
      <c r="C63" t="s">
        <v>318</v>
      </c>
      <c r="D63">
        <v>71</v>
      </c>
      <c r="E63">
        <f t="shared" si="0"/>
        <v>0</v>
      </c>
      <c r="F63">
        <v>1</v>
      </c>
    </row>
    <row r="64" spans="1:6">
      <c r="A64">
        <v>1983</v>
      </c>
      <c r="B64" t="s">
        <v>298</v>
      </c>
      <c r="C64" t="s">
        <v>299</v>
      </c>
      <c r="D64">
        <v>91</v>
      </c>
      <c r="E64">
        <f t="shared" si="0"/>
        <v>0</v>
      </c>
      <c r="F64">
        <v>1</v>
      </c>
    </row>
    <row r="65" spans="1:6">
      <c r="A65">
        <v>1984</v>
      </c>
      <c r="B65" t="s">
        <v>298</v>
      </c>
      <c r="C65" t="s">
        <v>301</v>
      </c>
      <c r="D65">
        <v>91</v>
      </c>
      <c r="E65">
        <f t="shared" si="0"/>
        <v>0</v>
      </c>
      <c r="F65">
        <v>1</v>
      </c>
    </row>
    <row r="66" spans="1:6">
      <c r="A66">
        <v>1985</v>
      </c>
      <c r="B66" t="s">
        <v>298</v>
      </c>
      <c r="C66" t="s">
        <v>301</v>
      </c>
      <c r="D66">
        <v>91</v>
      </c>
      <c r="E66">
        <f t="shared" si="0"/>
        <v>1</v>
      </c>
      <c r="F66">
        <v>1</v>
      </c>
    </row>
    <row r="67" spans="1:6">
      <c r="A67">
        <v>1986</v>
      </c>
      <c r="B67" t="s">
        <v>298</v>
      </c>
      <c r="C67" t="s">
        <v>301</v>
      </c>
      <c r="D67">
        <v>91</v>
      </c>
      <c r="E67">
        <f t="shared" ref="E67:E130" si="1">IF(AND(C67=C66,D67=D66),1,0)</f>
        <v>1</v>
      </c>
      <c r="F67">
        <v>1</v>
      </c>
    </row>
    <row r="68" spans="1:6">
      <c r="A68">
        <v>1987</v>
      </c>
      <c r="B68" t="s">
        <v>298</v>
      </c>
      <c r="C68" t="s">
        <v>301</v>
      </c>
      <c r="D68">
        <v>91</v>
      </c>
      <c r="E68">
        <f t="shared" si="1"/>
        <v>1</v>
      </c>
      <c r="F68">
        <v>1</v>
      </c>
    </row>
    <row r="69" spans="1:6">
      <c r="A69">
        <v>1988</v>
      </c>
      <c r="B69" t="s">
        <v>298</v>
      </c>
      <c r="C69" t="s">
        <v>301</v>
      </c>
      <c r="D69">
        <v>91</v>
      </c>
      <c r="E69">
        <f t="shared" si="1"/>
        <v>1</v>
      </c>
      <c r="F69">
        <v>1</v>
      </c>
    </row>
    <row r="70" spans="1:6">
      <c r="A70">
        <v>1989</v>
      </c>
      <c r="B70" t="s">
        <v>298</v>
      </c>
      <c r="C70" t="s">
        <v>299</v>
      </c>
      <c r="D70">
        <v>91</v>
      </c>
      <c r="E70">
        <f t="shared" si="1"/>
        <v>0</v>
      </c>
      <c r="F70">
        <v>1</v>
      </c>
    </row>
    <row r="71" spans="1:6">
      <c r="A71">
        <v>1990</v>
      </c>
      <c r="B71" t="s">
        <v>298</v>
      </c>
      <c r="C71" t="s">
        <v>301</v>
      </c>
      <c r="D71">
        <v>91</v>
      </c>
      <c r="E71">
        <f t="shared" si="1"/>
        <v>0</v>
      </c>
      <c r="F71">
        <v>1</v>
      </c>
    </row>
    <row r="72" spans="1:6">
      <c r="A72">
        <v>1991</v>
      </c>
      <c r="B72" t="s">
        <v>298</v>
      </c>
      <c r="C72" t="s">
        <v>301</v>
      </c>
      <c r="D72">
        <v>91</v>
      </c>
      <c r="E72">
        <f t="shared" si="1"/>
        <v>1</v>
      </c>
      <c r="F72">
        <v>1</v>
      </c>
    </row>
    <row r="73" spans="1:6">
      <c r="A73">
        <v>1983</v>
      </c>
      <c r="B73" t="s">
        <v>310</v>
      </c>
      <c r="C73" t="s">
        <v>316</v>
      </c>
      <c r="D73">
        <v>101</v>
      </c>
      <c r="E73">
        <f t="shared" si="1"/>
        <v>0</v>
      </c>
      <c r="F73">
        <v>1</v>
      </c>
    </row>
    <row r="74" spans="1:6">
      <c r="A74">
        <v>1984</v>
      </c>
      <c r="B74" t="s">
        <v>310</v>
      </c>
      <c r="C74" t="s">
        <v>316</v>
      </c>
      <c r="D74">
        <v>101</v>
      </c>
      <c r="E74">
        <f t="shared" si="1"/>
        <v>1</v>
      </c>
      <c r="F74">
        <v>1</v>
      </c>
    </row>
    <row r="75" spans="1:6">
      <c r="A75">
        <v>1985</v>
      </c>
      <c r="B75" t="s">
        <v>310</v>
      </c>
      <c r="C75" t="s">
        <v>315</v>
      </c>
      <c r="D75">
        <v>101</v>
      </c>
      <c r="E75">
        <f t="shared" si="1"/>
        <v>0</v>
      </c>
      <c r="F75">
        <v>1</v>
      </c>
    </row>
    <row r="76" spans="1:6">
      <c r="A76">
        <v>1986</v>
      </c>
      <c r="B76" t="s">
        <v>310</v>
      </c>
      <c r="C76" t="s">
        <v>316</v>
      </c>
      <c r="D76">
        <v>101</v>
      </c>
      <c r="E76">
        <f t="shared" si="1"/>
        <v>0</v>
      </c>
      <c r="F76">
        <v>1</v>
      </c>
    </row>
    <row r="77" spans="1:6">
      <c r="A77">
        <v>1987</v>
      </c>
      <c r="B77" t="s">
        <v>310</v>
      </c>
      <c r="C77" t="s">
        <v>323</v>
      </c>
      <c r="D77">
        <v>101</v>
      </c>
      <c r="E77">
        <f t="shared" si="1"/>
        <v>0</v>
      </c>
      <c r="F77">
        <v>1</v>
      </c>
    </row>
    <row r="78" spans="1:6">
      <c r="A78">
        <v>1988</v>
      </c>
      <c r="B78" t="s">
        <v>310</v>
      </c>
      <c r="C78" t="s">
        <v>301</v>
      </c>
      <c r="D78">
        <v>101</v>
      </c>
      <c r="E78">
        <f t="shared" si="1"/>
        <v>0</v>
      </c>
      <c r="F78">
        <v>1</v>
      </c>
    </row>
    <row r="79" spans="1:6">
      <c r="A79">
        <v>1989</v>
      </c>
      <c r="B79" t="s">
        <v>310</v>
      </c>
      <c r="C79" t="s">
        <v>323</v>
      </c>
      <c r="D79">
        <v>101</v>
      </c>
      <c r="E79">
        <f t="shared" si="1"/>
        <v>0</v>
      </c>
      <c r="F79">
        <v>1</v>
      </c>
    </row>
    <row r="80" spans="1:6">
      <c r="A80">
        <v>1990</v>
      </c>
      <c r="B80" t="s">
        <v>310</v>
      </c>
      <c r="C80" t="s">
        <v>323</v>
      </c>
      <c r="D80">
        <v>101</v>
      </c>
      <c r="E80">
        <f t="shared" si="1"/>
        <v>1</v>
      </c>
      <c r="F80">
        <v>1</v>
      </c>
    </row>
    <row r="81" spans="1:6">
      <c r="A81">
        <v>1983</v>
      </c>
      <c r="B81" t="s">
        <v>310</v>
      </c>
      <c r="C81" t="s">
        <v>55</v>
      </c>
      <c r="D81">
        <v>121</v>
      </c>
      <c r="E81">
        <f t="shared" si="1"/>
        <v>0</v>
      </c>
      <c r="F81">
        <v>1</v>
      </c>
    </row>
    <row r="82" spans="1:6">
      <c r="A82">
        <v>1984</v>
      </c>
      <c r="B82" t="s">
        <v>310</v>
      </c>
      <c r="C82" t="s">
        <v>324</v>
      </c>
      <c r="D82">
        <v>121</v>
      </c>
      <c r="E82">
        <f t="shared" si="1"/>
        <v>0</v>
      </c>
      <c r="F82">
        <v>1</v>
      </c>
    </row>
    <row r="83" spans="1:6">
      <c r="A83">
        <v>1985</v>
      </c>
      <c r="B83" t="s">
        <v>310</v>
      </c>
      <c r="C83" t="s">
        <v>324</v>
      </c>
      <c r="D83">
        <v>121</v>
      </c>
      <c r="E83">
        <f t="shared" si="1"/>
        <v>1</v>
      </c>
      <c r="F83">
        <v>1</v>
      </c>
    </row>
    <row r="84" spans="1:6">
      <c r="A84">
        <v>1986</v>
      </c>
      <c r="B84" t="s">
        <v>310</v>
      </c>
      <c r="C84" t="s">
        <v>301</v>
      </c>
      <c r="D84">
        <v>121</v>
      </c>
      <c r="E84">
        <f t="shared" si="1"/>
        <v>0</v>
      </c>
      <c r="F84">
        <v>1</v>
      </c>
    </row>
    <row r="85" spans="1:6">
      <c r="A85">
        <v>1987</v>
      </c>
      <c r="B85" t="s">
        <v>310</v>
      </c>
      <c r="C85" t="s">
        <v>301</v>
      </c>
      <c r="D85">
        <v>121</v>
      </c>
      <c r="E85">
        <f t="shared" si="1"/>
        <v>1</v>
      </c>
      <c r="F85">
        <v>1</v>
      </c>
    </row>
    <row r="86" spans="1:6">
      <c r="A86">
        <v>1988</v>
      </c>
      <c r="B86" t="s">
        <v>310</v>
      </c>
      <c r="C86" t="s">
        <v>301</v>
      </c>
      <c r="D86">
        <v>121</v>
      </c>
      <c r="E86">
        <f t="shared" si="1"/>
        <v>1</v>
      </c>
      <c r="F86">
        <v>1</v>
      </c>
    </row>
    <row r="87" spans="1:6">
      <c r="A87">
        <v>1989</v>
      </c>
      <c r="B87" t="s">
        <v>310</v>
      </c>
      <c r="C87" t="s">
        <v>301</v>
      </c>
      <c r="D87">
        <v>121</v>
      </c>
      <c r="E87">
        <f t="shared" si="1"/>
        <v>1</v>
      </c>
      <c r="F87">
        <v>1</v>
      </c>
    </row>
    <row r="88" spans="1:6">
      <c r="A88">
        <v>1990</v>
      </c>
      <c r="B88" t="s">
        <v>310</v>
      </c>
      <c r="C88" t="s">
        <v>301</v>
      </c>
      <c r="D88">
        <v>121</v>
      </c>
      <c r="E88">
        <f t="shared" si="1"/>
        <v>1</v>
      </c>
      <c r="F88">
        <v>1</v>
      </c>
    </row>
    <row r="89" spans="1:6">
      <c r="A89">
        <v>1983</v>
      </c>
      <c r="B89" t="s">
        <v>298</v>
      </c>
      <c r="C89" t="s">
        <v>299</v>
      </c>
      <c r="D89">
        <v>134</v>
      </c>
      <c r="E89">
        <f t="shared" si="1"/>
        <v>0</v>
      </c>
      <c r="F89">
        <v>1</v>
      </c>
    </row>
    <row r="90" spans="1:6">
      <c r="A90">
        <v>1984</v>
      </c>
      <c r="B90" t="s">
        <v>298</v>
      </c>
      <c r="C90" t="s">
        <v>299</v>
      </c>
      <c r="D90">
        <v>134</v>
      </c>
      <c r="E90">
        <f t="shared" si="1"/>
        <v>1</v>
      </c>
      <c r="F90">
        <v>1</v>
      </c>
    </row>
    <row r="91" spans="1:6">
      <c r="A91">
        <v>1985</v>
      </c>
      <c r="B91" t="s">
        <v>298</v>
      </c>
      <c r="C91" t="s">
        <v>299</v>
      </c>
      <c r="D91">
        <v>134</v>
      </c>
      <c r="E91">
        <f t="shared" si="1"/>
        <v>1</v>
      </c>
      <c r="F91">
        <v>1</v>
      </c>
    </row>
    <row r="92" spans="1:6">
      <c r="A92">
        <v>1986</v>
      </c>
      <c r="B92" t="s">
        <v>298</v>
      </c>
      <c r="C92" t="s">
        <v>299</v>
      </c>
      <c r="D92">
        <v>134</v>
      </c>
      <c r="E92">
        <f t="shared" si="1"/>
        <v>1</v>
      </c>
      <c r="F92">
        <v>1</v>
      </c>
    </row>
    <row r="93" spans="1:6">
      <c r="A93">
        <v>1987</v>
      </c>
      <c r="B93" t="s">
        <v>298</v>
      </c>
      <c r="C93" t="s">
        <v>299</v>
      </c>
      <c r="D93">
        <v>134</v>
      </c>
      <c r="E93">
        <f t="shared" si="1"/>
        <v>1</v>
      </c>
      <c r="F93">
        <v>1</v>
      </c>
    </row>
    <row r="94" spans="1:6">
      <c r="A94">
        <v>1988</v>
      </c>
      <c r="B94" t="s">
        <v>298</v>
      </c>
      <c r="C94" t="s">
        <v>299</v>
      </c>
      <c r="D94">
        <v>134</v>
      </c>
      <c r="E94">
        <f t="shared" si="1"/>
        <v>1</v>
      </c>
      <c r="F94">
        <v>1</v>
      </c>
    </row>
    <row r="95" spans="1:6">
      <c r="A95">
        <v>1989</v>
      </c>
      <c r="B95" t="s">
        <v>298</v>
      </c>
      <c r="C95" t="s">
        <v>299</v>
      </c>
      <c r="D95">
        <v>134</v>
      </c>
      <c r="E95">
        <f t="shared" si="1"/>
        <v>1</v>
      </c>
      <c r="F95">
        <v>1</v>
      </c>
    </row>
    <row r="96" spans="1:6">
      <c r="A96">
        <v>1990</v>
      </c>
      <c r="B96" t="s">
        <v>298</v>
      </c>
      <c r="C96" t="s">
        <v>299</v>
      </c>
      <c r="D96">
        <v>134</v>
      </c>
      <c r="E96">
        <f t="shared" si="1"/>
        <v>1</v>
      </c>
      <c r="F96">
        <v>1</v>
      </c>
    </row>
    <row r="97" spans="1:6">
      <c r="A97">
        <v>1991</v>
      </c>
      <c r="B97" t="s">
        <v>298</v>
      </c>
      <c r="C97" t="s">
        <v>299</v>
      </c>
      <c r="D97">
        <v>134</v>
      </c>
      <c r="E97">
        <f t="shared" si="1"/>
        <v>1</v>
      </c>
      <c r="F97">
        <v>1</v>
      </c>
    </row>
    <row r="98" spans="1:6">
      <c r="A98">
        <v>1985</v>
      </c>
      <c r="B98" t="s">
        <v>298</v>
      </c>
      <c r="C98" t="s">
        <v>299</v>
      </c>
      <c r="D98">
        <v>147</v>
      </c>
      <c r="E98">
        <f t="shared" si="1"/>
        <v>0</v>
      </c>
      <c r="F98">
        <v>1</v>
      </c>
    </row>
    <row r="99" spans="1:6">
      <c r="A99">
        <v>1986</v>
      </c>
      <c r="B99" t="s">
        <v>298</v>
      </c>
      <c r="C99" t="s">
        <v>299</v>
      </c>
      <c r="D99">
        <v>147</v>
      </c>
      <c r="E99">
        <f t="shared" si="1"/>
        <v>1</v>
      </c>
      <c r="F99">
        <v>1</v>
      </c>
    </row>
    <row r="100" spans="1:6">
      <c r="A100">
        <v>1987</v>
      </c>
      <c r="B100" t="s">
        <v>298</v>
      </c>
      <c r="C100" t="s">
        <v>301</v>
      </c>
      <c r="D100">
        <v>147</v>
      </c>
      <c r="E100">
        <f t="shared" si="1"/>
        <v>0</v>
      </c>
      <c r="F100">
        <v>1</v>
      </c>
    </row>
    <row r="101" spans="1:6">
      <c r="A101">
        <v>1988</v>
      </c>
      <c r="B101" t="s">
        <v>298</v>
      </c>
      <c r="C101" t="s">
        <v>301</v>
      </c>
      <c r="D101">
        <v>147</v>
      </c>
      <c r="E101">
        <f t="shared" si="1"/>
        <v>1</v>
      </c>
      <c r="F101">
        <v>1</v>
      </c>
    </row>
    <row r="102" spans="1:6">
      <c r="A102">
        <v>1989</v>
      </c>
      <c r="B102" t="s">
        <v>298</v>
      </c>
      <c r="C102" t="s">
        <v>301</v>
      </c>
      <c r="D102">
        <v>147</v>
      </c>
      <c r="E102">
        <f t="shared" si="1"/>
        <v>1</v>
      </c>
      <c r="F102">
        <v>1</v>
      </c>
    </row>
    <row r="103" spans="1:6">
      <c r="A103">
        <v>1990</v>
      </c>
      <c r="B103" t="s">
        <v>298</v>
      </c>
      <c r="C103" t="s">
        <v>299</v>
      </c>
      <c r="D103">
        <v>147</v>
      </c>
      <c r="E103">
        <f t="shared" si="1"/>
        <v>0</v>
      </c>
      <c r="F103">
        <v>1</v>
      </c>
    </row>
    <row r="104" spans="1:6">
      <c r="A104">
        <v>1990</v>
      </c>
      <c r="B104" t="s">
        <v>298</v>
      </c>
      <c r="C104" t="s">
        <v>301</v>
      </c>
      <c r="D104">
        <v>147</v>
      </c>
      <c r="E104">
        <f t="shared" si="1"/>
        <v>0</v>
      </c>
      <c r="F104">
        <v>1</v>
      </c>
    </row>
    <row r="105" spans="1:6">
      <c r="A105">
        <v>1991</v>
      </c>
      <c r="B105" t="s">
        <v>298</v>
      </c>
      <c r="C105" t="s">
        <v>301</v>
      </c>
      <c r="D105">
        <v>147</v>
      </c>
      <c r="E105">
        <f t="shared" si="1"/>
        <v>1</v>
      </c>
      <c r="F105">
        <v>1</v>
      </c>
    </row>
    <row r="106" spans="1:6">
      <c r="A106">
        <v>1983</v>
      </c>
      <c r="B106" t="s">
        <v>298</v>
      </c>
      <c r="C106" t="s">
        <v>299</v>
      </c>
      <c r="D106">
        <v>157</v>
      </c>
      <c r="E106">
        <f t="shared" si="1"/>
        <v>0</v>
      </c>
      <c r="F106">
        <v>1</v>
      </c>
    </row>
    <row r="107" spans="1:6">
      <c r="A107">
        <v>1984</v>
      </c>
      <c r="B107" t="s">
        <v>298</v>
      </c>
      <c r="C107" t="s">
        <v>299</v>
      </c>
      <c r="D107">
        <v>157</v>
      </c>
      <c r="E107">
        <f t="shared" si="1"/>
        <v>1</v>
      </c>
      <c r="F107">
        <v>1</v>
      </c>
    </row>
    <row r="108" spans="1:6">
      <c r="A108">
        <v>1985</v>
      </c>
      <c r="B108" t="s">
        <v>298</v>
      </c>
      <c r="C108" t="s">
        <v>299</v>
      </c>
      <c r="D108">
        <v>157</v>
      </c>
      <c r="E108">
        <f t="shared" si="1"/>
        <v>1</v>
      </c>
      <c r="F108">
        <v>1</v>
      </c>
    </row>
    <row r="109" spans="1:6">
      <c r="A109">
        <v>1986</v>
      </c>
      <c r="B109" t="s">
        <v>298</v>
      </c>
      <c r="C109" t="s">
        <v>299</v>
      </c>
      <c r="D109">
        <v>157</v>
      </c>
      <c r="E109">
        <f t="shared" si="1"/>
        <v>1</v>
      </c>
      <c r="F109">
        <v>1</v>
      </c>
    </row>
    <row r="110" spans="1:6">
      <c r="A110">
        <v>1987</v>
      </c>
      <c r="B110" t="s">
        <v>298</v>
      </c>
      <c r="C110" t="s">
        <v>299</v>
      </c>
      <c r="D110">
        <v>157</v>
      </c>
      <c r="E110">
        <f t="shared" si="1"/>
        <v>1</v>
      </c>
      <c r="F110">
        <v>1</v>
      </c>
    </row>
    <row r="111" spans="1:6">
      <c r="A111">
        <v>1988</v>
      </c>
      <c r="B111" t="s">
        <v>298</v>
      </c>
      <c r="C111" t="s">
        <v>299</v>
      </c>
      <c r="D111">
        <v>157</v>
      </c>
      <c r="E111">
        <f t="shared" si="1"/>
        <v>1</v>
      </c>
      <c r="F111">
        <v>1</v>
      </c>
    </row>
    <row r="112" spans="1:6">
      <c r="A112">
        <v>1989</v>
      </c>
      <c r="B112" t="s">
        <v>298</v>
      </c>
      <c r="C112" t="s">
        <v>299</v>
      </c>
      <c r="D112">
        <v>157</v>
      </c>
      <c r="E112">
        <f t="shared" si="1"/>
        <v>1</v>
      </c>
      <c r="F112">
        <v>1</v>
      </c>
    </row>
    <row r="113" spans="1:6">
      <c r="A113">
        <v>1990</v>
      </c>
      <c r="B113" t="s">
        <v>298</v>
      </c>
      <c r="C113" t="s">
        <v>301</v>
      </c>
      <c r="D113">
        <v>157</v>
      </c>
      <c r="E113">
        <f t="shared" si="1"/>
        <v>0</v>
      </c>
      <c r="F113">
        <v>1</v>
      </c>
    </row>
    <row r="114" spans="1:6">
      <c r="A114">
        <v>1991</v>
      </c>
      <c r="B114" t="s">
        <v>298</v>
      </c>
      <c r="C114" t="s">
        <v>301</v>
      </c>
      <c r="D114">
        <v>157</v>
      </c>
      <c r="E114">
        <f t="shared" si="1"/>
        <v>1</v>
      </c>
      <c r="F114">
        <v>1</v>
      </c>
    </row>
    <row r="115" spans="1:6">
      <c r="A115">
        <v>1983</v>
      </c>
      <c r="B115" t="s">
        <v>310</v>
      </c>
      <c r="C115" t="s">
        <v>301</v>
      </c>
      <c r="D115">
        <v>165</v>
      </c>
      <c r="E115">
        <f t="shared" si="1"/>
        <v>0</v>
      </c>
      <c r="F115">
        <v>1</v>
      </c>
    </row>
    <row r="116" spans="1:6">
      <c r="A116">
        <v>1984</v>
      </c>
      <c r="B116" t="s">
        <v>310</v>
      </c>
      <c r="C116" t="s">
        <v>311</v>
      </c>
      <c r="D116">
        <v>165</v>
      </c>
      <c r="E116">
        <f t="shared" si="1"/>
        <v>0</v>
      </c>
      <c r="F116">
        <v>1</v>
      </c>
    </row>
    <row r="117" spans="1:6">
      <c r="A117">
        <v>1985</v>
      </c>
      <c r="B117" t="s">
        <v>310</v>
      </c>
      <c r="C117" t="s">
        <v>311</v>
      </c>
      <c r="D117">
        <v>165</v>
      </c>
      <c r="E117">
        <f t="shared" si="1"/>
        <v>1</v>
      </c>
      <c r="F117">
        <v>1</v>
      </c>
    </row>
    <row r="118" spans="1:6">
      <c r="A118">
        <v>1986</v>
      </c>
      <c r="B118" t="s">
        <v>310</v>
      </c>
      <c r="C118" t="s">
        <v>311</v>
      </c>
      <c r="D118">
        <v>165</v>
      </c>
      <c r="E118">
        <f t="shared" si="1"/>
        <v>1</v>
      </c>
      <c r="F118">
        <v>1</v>
      </c>
    </row>
    <row r="119" spans="1:6">
      <c r="A119">
        <v>1987</v>
      </c>
      <c r="B119" t="s">
        <v>310</v>
      </c>
      <c r="C119" t="s">
        <v>55</v>
      </c>
      <c r="D119">
        <v>165</v>
      </c>
      <c r="E119">
        <f t="shared" si="1"/>
        <v>0</v>
      </c>
      <c r="F119">
        <v>1</v>
      </c>
    </row>
    <row r="120" spans="1:6">
      <c r="A120">
        <v>1988</v>
      </c>
      <c r="B120" t="s">
        <v>310</v>
      </c>
      <c r="C120" t="s">
        <v>311</v>
      </c>
      <c r="D120">
        <v>165</v>
      </c>
      <c r="E120">
        <f t="shared" si="1"/>
        <v>0</v>
      </c>
      <c r="F120">
        <v>1</v>
      </c>
    </row>
    <row r="121" spans="1:6">
      <c r="A121">
        <v>1989</v>
      </c>
      <c r="B121" t="s">
        <v>310</v>
      </c>
      <c r="C121" t="s">
        <v>301</v>
      </c>
      <c r="D121">
        <v>165</v>
      </c>
      <c r="E121">
        <f t="shared" si="1"/>
        <v>0</v>
      </c>
      <c r="F121">
        <v>1</v>
      </c>
    </row>
    <row r="122" spans="1:6">
      <c r="A122">
        <v>1990</v>
      </c>
      <c r="B122" t="s">
        <v>310</v>
      </c>
      <c r="C122" t="s">
        <v>301</v>
      </c>
      <c r="D122">
        <v>165</v>
      </c>
      <c r="E122">
        <f t="shared" si="1"/>
        <v>1</v>
      </c>
      <c r="F122">
        <v>1</v>
      </c>
    </row>
    <row r="123" spans="1:6">
      <c r="A123">
        <v>1983</v>
      </c>
      <c r="B123" t="s">
        <v>310</v>
      </c>
      <c r="C123" t="s">
        <v>312</v>
      </c>
      <c r="D123">
        <v>171</v>
      </c>
      <c r="E123">
        <f t="shared" si="1"/>
        <v>0</v>
      </c>
      <c r="F123">
        <v>1</v>
      </c>
    </row>
    <row r="124" spans="1:6">
      <c r="A124">
        <v>1984</v>
      </c>
      <c r="B124" t="s">
        <v>310</v>
      </c>
      <c r="C124" t="s">
        <v>312</v>
      </c>
      <c r="D124">
        <v>171</v>
      </c>
      <c r="E124">
        <f t="shared" si="1"/>
        <v>1</v>
      </c>
      <c r="F124">
        <v>1</v>
      </c>
    </row>
    <row r="125" spans="1:6">
      <c r="A125">
        <v>1985</v>
      </c>
      <c r="B125" t="s">
        <v>310</v>
      </c>
      <c r="C125" t="s">
        <v>312</v>
      </c>
      <c r="D125">
        <v>171</v>
      </c>
      <c r="E125">
        <f t="shared" si="1"/>
        <v>1</v>
      </c>
      <c r="F125">
        <v>1</v>
      </c>
    </row>
    <row r="126" spans="1:6">
      <c r="A126">
        <v>1986</v>
      </c>
      <c r="B126" t="s">
        <v>310</v>
      </c>
      <c r="C126" t="s">
        <v>55</v>
      </c>
      <c r="D126">
        <v>171</v>
      </c>
      <c r="E126">
        <f t="shared" si="1"/>
        <v>0</v>
      </c>
      <c r="F126">
        <v>1</v>
      </c>
    </row>
    <row r="127" spans="1:6">
      <c r="A127">
        <v>1987</v>
      </c>
      <c r="B127" t="s">
        <v>310</v>
      </c>
      <c r="C127" t="s">
        <v>55</v>
      </c>
      <c r="D127">
        <v>171</v>
      </c>
      <c r="E127">
        <f t="shared" si="1"/>
        <v>1</v>
      </c>
      <c r="F127">
        <v>1</v>
      </c>
    </row>
    <row r="128" spans="1:6">
      <c r="A128">
        <v>1988</v>
      </c>
      <c r="B128" t="s">
        <v>310</v>
      </c>
      <c r="C128" t="s">
        <v>55</v>
      </c>
      <c r="D128">
        <v>171</v>
      </c>
      <c r="E128">
        <f t="shared" si="1"/>
        <v>1</v>
      </c>
      <c r="F128">
        <v>1</v>
      </c>
    </row>
    <row r="129" spans="1:6">
      <c r="A129">
        <v>1989</v>
      </c>
      <c r="B129" t="s">
        <v>310</v>
      </c>
      <c r="C129" t="s">
        <v>299</v>
      </c>
      <c r="D129">
        <v>171</v>
      </c>
      <c r="E129">
        <f t="shared" si="1"/>
        <v>0</v>
      </c>
      <c r="F129">
        <v>1</v>
      </c>
    </row>
    <row r="130" spans="1:6">
      <c r="A130">
        <v>1990</v>
      </c>
      <c r="B130" t="s">
        <v>310</v>
      </c>
      <c r="C130" t="s">
        <v>299</v>
      </c>
      <c r="D130">
        <v>171</v>
      </c>
      <c r="E130">
        <f t="shared" si="1"/>
        <v>1</v>
      </c>
      <c r="F130">
        <v>1</v>
      </c>
    </row>
    <row r="131" spans="1:6">
      <c r="A131">
        <v>1983</v>
      </c>
      <c r="B131" t="s">
        <v>298</v>
      </c>
      <c r="C131" t="s">
        <v>301</v>
      </c>
      <c r="D131">
        <v>176</v>
      </c>
      <c r="E131">
        <f t="shared" ref="E131:E194" si="2">IF(AND(C131=C130,D131=D130),1,0)</f>
        <v>0</v>
      </c>
      <c r="F131">
        <v>1</v>
      </c>
    </row>
    <row r="132" spans="1:6">
      <c r="A132">
        <v>1984</v>
      </c>
      <c r="B132" t="s">
        <v>298</v>
      </c>
      <c r="C132" t="s">
        <v>301</v>
      </c>
      <c r="D132">
        <v>176</v>
      </c>
      <c r="E132">
        <f t="shared" si="2"/>
        <v>1</v>
      </c>
      <c r="F132">
        <v>1</v>
      </c>
    </row>
    <row r="133" spans="1:6">
      <c r="A133">
        <v>1985</v>
      </c>
      <c r="B133" t="s">
        <v>298</v>
      </c>
      <c r="C133" t="s">
        <v>301</v>
      </c>
      <c r="D133">
        <v>176</v>
      </c>
      <c r="E133">
        <f t="shared" si="2"/>
        <v>1</v>
      </c>
      <c r="F133">
        <v>1</v>
      </c>
    </row>
    <row r="134" spans="1:6">
      <c r="A134">
        <v>1986</v>
      </c>
      <c r="B134" t="s">
        <v>298</v>
      </c>
      <c r="C134" t="s">
        <v>301</v>
      </c>
      <c r="D134">
        <v>176</v>
      </c>
      <c r="E134">
        <f t="shared" si="2"/>
        <v>1</v>
      </c>
      <c r="F134">
        <v>1</v>
      </c>
    </row>
    <row r="135" spans="1:6">
      <c r="A135">
        <v>1987</v>
      </c>
      <c r="B135" t="s">
        <v>298</v>
      </c>
      <c r="C135" t="s">
        <v>301</v>
      </c>
      <c r="D135">
        <v>176</v>
      </c>
      <c r="E135">
        <f t="shared" si="2"/>
        <v>1</v>
      </c>
      <c r="F135">
        <v>1</v>
      </c>
    </row>
    <row r="136" spans="1:6">
      <c r="A136">
        <v>1988</v>
      </c>
      <c r="B136" t="s">
        <v>298</v>
      </c>
      <c r="C136" t="s">
        <v>301</v>
      </c>
      <c r="D136">
        <v>176</v>
      </c>
      <c r="E136">
        <f t="shared" si="2"/>
        <v>1</v>
      </c>
      <c r="F136">
        <v>1</v>
      </c>
    </row>
    <row r="137" spans="1:6">
      <c r="A137">
        <v>1989</v>
      </c>
      <c r="B137" t="s">
        <v>298</v>
      </c>
      <c r="C137" t="s">
        <v>301</v>
      </c>
      <c r="D137">
        <v>176</v>
      </c>
      <c r="E137">
        <f t="shared" si="2"/>
        <v>1</v>
      </c>
      <c r="F137">
        <v>1</v>
      </c>
    </row>
    <row r="138" spans="1:6">
      <c r="A138">
        <v>1990</v>
      </c>
      <c r="B138" t="s">
        <v>298</v>
      </c>
      <c r="C138" t="s">
        <v>301</v>
      </c>
      <c r="D138">
        <v>176</v>
      </c>
      <c r="E138">
        <f t="shared" si="2"/>
        <v>1</v>
      </c>
      <c r="F138">
        <v>1</v>
      </c>
    </row>
    <row r="139" spans="1:6">
      <c r="A139">
        <v>1991</v>
      </c>
      <c r="B139" t="s">
        <v>298</v>
      </c>
      <c r="C139" t="s">
        <v>301</v>
      </c>
      <c r="D139">
        <v>176</v>
      </c>
      <c r="E139">
        <f t="shared" si="2"/>
        <v>1</v>
      </c>
      <c r="F139">
        <v>1</v>
      </c>
    </row>
    <row r="140" spans="1:6">
      <c r="A140">
        <v>1983</v>
      </c>
      <c r="B140" t="s">
        <v>310</v>
      </c>
      <c r="C140" t="s">
        <v>55</v>
      </c>
      <c r="D140">
        <v>181</v>
      </c>
      <c r="E140">
        <f t="shared" si="2"/>
        <v>0</v>
      </c>
      <c r="F140">
        <v>1</v>
      </c>
    </row>
    <row r="141" spans="1:6">
      <c r="A141">
        <v>1984</v>
      </c>
      <c r="B141" t="s">
        <v>310</v>
      </c>
      <c r="C141" t="s">
        <v>55</v>
      </c>
      <c r="D141">
        <v>181</v>
      </c>
      <c r="E141">
        <f t="shared" si="2"/>
        <v>1</v>
      </c>
      <c r="F141">
        <v>1</v>
      </c>
    </row>
    <row r="142" spans="1:6">
      <c r="A142">
        <v>1985</v>
      </c>
      <c r="B142" t="s">
        <v>310</v>
      </c>
      <c r="C142" t="s">
        <v>55</v>
      </c>
      <c r="D142">
        <v>181</v>
      </c>
      <c r="E142">
        <f t="shared" si="2"/>
        <v>1</v>
      </c>
      <c r="F142">
        <v>1</v>
      </c>
    </row>
    <row r="143" spans="1:6">
      <c r="A143">
        <v>1986</v>
      </c>
      <c r="B143" t="s">
        <v>310</v>
      </c>
      <c r="C143" t="s">
        <v>55</v>
      </c>
      <c r="D143">
        <v>181</v>
      </c>
      <c r="E143">
        <f t="shared" si="2"/>
        <v>1</v>
      </c>
      <c r="F143">
        <v>1</v>
      </c>
    </row>
    <row r="144" spans="1:6">
      <c r="A144">
        <v>1987</v>
      </c>
      <c r="B144" t="s">
        <v>310</v>
      </c>
      <c r="C144" t="s">
        <v>311</v>
      </c>
      <c r="D144">
        <v>181</v>
      </c>
      <c r="E144">
        <f t="shared" si="2"/>
        <v>0</v>
      </c>
      <c r="F144">
        <v>1</v>
      </c>
    </row>
    <row r="145" spans="1:6">
      <c r="A145">
        <v>1988</v>
      </c>
      <c r="B145" t="s">
        <v>310</v>
      </c>
      <c r="C145" t="s">
        <v>301</v>
      </c>
      <c r="D145">
        <v>181</v>
      </c>
      <c r="E145">
        <f t="shared" si="2"/>
        <v>0</v>
      </c>
      <c r="F145">
        <v>1</v>
      </c>
    </row>
    <row r="146" spans="1:6">
      <c r="A146">
        <v>1989</v>
      </c>
      <c r="B146" t="s">
        <v>310</v>
      </c>
      <c r="C146" t="s">
        <v>301</v>
      </c>
      <c r="D146">
        <v>181</v>
      </c>
      <c r="E146">
        <f t="shared" si="2"/>
        <v>1</v>
      </c>
      <c r="F146">
        <v>1</v>
      </c>
    </row>
    <row r="147" spans="1:6">
      <c r="A147">
        <v>1990</v>
      </c>
      <c r="B147" t="s">
        <v>310</v>
      </c>
      <c r="C147" t="s">
        <v>301</v>
      </c>
      <c r="D147">
        <v>181</v>
      </c>
      <c r="E147">
        <f t="shared" si="2"/>
        <v>1</v>
      </c>
      <c r="F147">
        <v>1</v>
      </c>
    </row>
    <row r="148" spans="1:6">
      <c r="A148">
        <v>1983</v>
      </c>
      <c r="B148" t="s">
        <v>310</v>
      </c>
      <c r="C148" t="s">
        <v>325</v>
      </c>
      <c r="D148">
        <v>191</v>
      </c>
      <c r="E148">
        <f t="shared" si="2"/>
        <v>0</v>
      </c>
      <c r="F148">
        <v>1</v>
      </c>
    </row>
    <row r="149" spans="1:6">
      <c r="A149">
        <v>1984</v>
      </c>
      <c r="B149" t="s">
        <v>310</v>
      </c>
      <c r="C149" t="s">
        <v>299</v>
      </c>
      <c r="D149">
        <v>191</v>
      </c>
      <c r="E149">
        <f t="shared" si="2"/>
        <v>0</v>
      </c>
      <c r="F149">
        <v>1</v>
      </c>
    </row>
    <row r="150" spans="1:6">
      <c r="A150">
        <v>1985</v>
      </c>
      <c r="B150" t="s">
        <v>310</v>
      </c>
      <c r="C150" t="s">
        <v>299</v>
      </c>
      <c r="D150">
        <v>191</v>
      </c>
      <c r="E150">
        <f t="shared" si="2"/>
        <v>1</v>
      </c>
      <c r="F150">
        <v>1</v>
      </c>
    </row>
    <row r="151" spans="1:6">
      <c r="A151">
        <v>1986</v>
      </c>
      <c r="B151" t="s">
        <v>310</v>
      </c>
      <c r="C151" t="s">
        <v>299</v>
      </c>
      <c r="D151">
        <v>191</v>
      </c>
      <c r="E151">
        <f t="shared" si="2"/>
        <v>1</v>
      </c>
      <c r="F151">
        <v>1</v>
      </c>
    </row>
    <row r="152" spans="1:6">
      <c r="A152">
        <v>1987</v>
      </c>
      <c r="B152" t="s">
        <v>310</v>
      </c>
      <c r="C152" t="s">
        <v>299</v>
      </c>
      <c r="D152">
        <v>191</v>
      </c>
      <c r="E152">
        <f t="shared" si="2"/>
        <v>1</v>
      </c>
      <c r="F152">
        <v>1</v>
      </c>
    </row>
    <row r="153" spans="1:6">
      <c r="A153">
        <v>1988</v>
      </c>
      <c r="B153" t="s">
        <v>310</v>
      </c>
      <c r="C153" t="s">
        <v>299</v>
      </c>
      <c r="D153">
        <v>191</v>
      </c>
      <c r="E153">
        <f t="shared" si="2"/>
        <v>1</v>
      </c>
      <c r="F153">
        <v>1</v>
      </c>
    </row>
    <row r="154" spans="1:6">
      <c r="A154">
        <v>1989</v>
      </c>
      <c r="B154" t="s">
        <v>310</v>
      </c>
      <c r="C154" t="s">
        <v>43</v>
      </c>
      <c r="D154">
        <v>191</v>
      </c>
      <c r="E154">
        <f t="shared" si="2"/>
        <v>0</v>
      </c>
      <c r="F154">
        <v>1</v>
      </c>
    </row>
    <row r="155" spans="1:6">
      <c r="A155">
        <v>1989</v>
      </c>
      <c r="B155" t="s">
        <v>310</v>
      </c>
      <c r="C155" t="s">
        <v>43</v>
      </c>
      <c r="D155">
        <v>191</v>
      </c>
      <c r="E155">
        <f t="shared" si="2"/>
        <v>1</v>
      </c>
      <c r="F155">
        <v>1</v>
      </c>
    </row>
    <row r="156" spans="1:6">
      <c r="A156">
        <v>1990</v>
      </c>
      <c r="B156" t="s">
        <v>310</v>
      </c>
      <c r="C156" t="s">
        <v>43</v>
      </c>
      <c r="D156">
        <v>191</v>
      </c>
      <c r="E156">
        <f t="shared" si="2"/>
        <v>1</v>
      </c>
      <c r="F156">
        <v>1</v>
      </c>
    </row>
    <row r="157" spans="1:6">
      <c r="A157">
        <v>1991</v>
      </c>
      <c r="B157" t="s">
        <v>310</v>
      </c>
      <c r="C157" t="s">
        <v>43</v>
      </c>
      <c r="D157">
        <v>191</v>
      </c>
      <c r="E157">
        <f t="shared" si="2"/>
        <v>1</v>
      </c>
      <c r="F157">
        <v>1</v>
      </c>
    </row>
    <row r="158" spans="1:6">
      <c r="A158">
        <v>1983</v>
      </c>
      <c r="B158" t="s">
        <v>310</v>
      </c>
      <c r="C158" t="s">
        <v>314</v>
      </c>
      <c r="D158">
        <v>195</v>
      </c>
      <c r="E158">
        <f t="shared" si="2"/>
        <v>0</v>
      </c>
      <c r="F158">
        <v>1</v>
      </c>
    </row>
    <row r="159" spans="1:6">
      <c r="A159">
        <v>1984</v>
      </c>
      <c r="B159" t="s">
        <v>310</v>
      </c>
      <c r="C159" t="s">
        <v>314</v>
      </c>
      <c r="D159">
        <v>195</v>
      </c>
      <c r="E159">
        <f t="shared" si="2"/>
        <v>1</v>
      </c>
      <c r="F159">
        <v>1</v>
      </c>
    </row>
    <row r="160" spans="1:6">
      <c r="A160">
        <v>1985</v>
      </c>
      <c r="B160" t="s">
        <v>310</v>
      </c>
      <c r="C160" t="s">
        <v>314</v>
      </c>
      <c r="D160">
        <v>195</v>
      </c>
      <c r="E160">
        <f t="shared" si="2"/>
        <v>1</v>
      </c>
      <c r="F160">
        <v>1</v>
      </c>
    </row>
    <row r="161" spans="1:6">
      <c r="A161">
        <v>1986</v>
      </c>
      <c r="B161" t="s">
        <v>310</v>
      </c>
      <c r="C161" t="s">
        <v>314</v>
      </c>
      <c r="D161">
        <v>195</v>
      </c>
      <c r="E161">
        <f t="shared" si="2"/>
        <v>1</v>
      </c>
      <c r="F161">
        <v>1</v>
      </c>
    </row>
    <row r="162" spans="1:6">
      <c r="A162">
        <v>1987</v>
      </c>
      <c r="B162" t="s">
        <v>310</v>
      </c>
      <c r="C162" t="s">
        <v>314</v>
      </c>
      <c r="D162">
        <v>195</v>
      </c>
      <c r="E162">
        <f t="shared" si="2"/>
        <v>1</v>
      </c>
      <c r="F162">
        <v>1</v>
      </c>
    </row>
    <row r="163" spans="1:6">
      <c r="A163">
        <v>1988</v>
      </c>
      <c r="B163" t="s">
        <v>310</v>
      </c>
      <c r="C163" t="s">
        <v>314</v>
      </c>
      <c r="D163">
        <v>195</v>
      </c>
      <c r="E163">
        <f t="shared" si="2"/>
        <v>1</v>
      </c>
      <c r="F163">
        <v>1</v>
      </c>
    </row>
    <row r="164" spans="1:6">
      <c r="A164">
        <v>1989</v>
      </c>
      <c r="B164" t="s">
        <v>310</v>
      </c>
      <c r="C164" t="s">
        <v>314</v>
      </c>
      <c r="D164">
        <v>195</v>
      </c>
      <c r="E164">
        <f t="shared" si="2"/>
        <v>1</v>
      </c>
      <c r="F164">
        <v>1</v>
      </c>
    </row>
    <row r="165" spans="1:6">
      <c r="A165">
        <v>1985</v>
      </c>
      <c r="B165" t="s">
        <v>310</v>
      </c>
      <c r="C165" t="s">
        <v>301</v>
      </c>
      <c r="D165">
        <v>201</v>
      </c>
      <c r="E165">
        <f t="shared" si="2"/>
        <v>0</v>
      </c>
      <c r="F165">
        <v>1</v>
      </c>
    </row>
    <row r="166" spans="1:6">
      <c r="A166">
        <v>1986</v>
      </c>
      <c r="B166" t="s">
        <v>310</v>
      </c>
      <c r="C166" t="s">
        <v>301</v>
      </c>
      <c r="D166">
        <v>201</v>
      </c>
      <c r="E166">
        <f t="shared" si="2"/>
        <v>1</v>
      </c>
      <c r="F166">
        <v>1</v>
      </c>
    </row>
    <row r="167" spans="1:6">
      <c r="A167">
        <v>1987</v>
      </c>
      <c r="B167" t="s">
        <v>310</v>
      </c>
      <c r="C167" t="s">
        <v>301</v>
      </c>
      <c r="D167">
        <v>201</v>
      </c>
      <c r="E167">
        <f t="shared" si="2"/>
        <v>1</v>
      </c>
      <c r="F167">
        <v>1</v>
      </c>
    </row>
    <row r="168" spans="1:6">
      <c r="A168">
        <v>1988</v>
      </c>
      <c r="B168" t="s">
        <v>310</v>
      </c>
      <c r="C168" t="s">
        <v>301</v>
      </c>
      <c r="D168">
        <v>201</v>
      </c>
      <c r="E168">
        <f t="shared" si="2"/>
        <v>1</v>
      </c>
      <c r="F168">
        <v>1</v>
      </c>
    </row>
    <row r="169" spans="1:6">
      <c r="A169">
        <v>1989</v>
      </c>
      <c r="B169" t="s">
        <v>310</v>
      </c>
      <c r="C169" t="s">
        <v>301</v>
      </c>
      <c r="D169">
        <v>201</v>
      </c>
      <c r="E169">
        <f t="shared" si="2"/>
        <v>1</v>
      </c>
      <c r="F169">
        <v>1</v>
      </c>
    </row>
    <row r="170" spans="1:6">
      <c r="A170">
        <v>1990</v>
      </c>
      <c r="B170" t="s">
        <v>310</v>
      </c>
      <c r="C170" t="s">
        <v>301</v>
      </c>
      <c r="D170">
        <v>201</v>
      </c>
      <c r="E170">
        <f t="shared" si="2"/>
        <v>1</v>
      </c>
      <c r="F170">
        <v>1</v>
      </c>
    </row>
    <row r="171" spans="1:6">
      <c r="A171">
        <v>1983</v>
      </c>
      <c r="B171" t="s">
        <v>310</v>
      </c>
      <c r="C171" t="s">
        <v>301</v>
      </c>
      <c r="D171">
        <v>241</v>
      </c>
      <c r="E171">
        <f t="shared" si="2"/>
        <v>0</v>
      </c>
      <c r="F171">
        <v>1</v>
      </c>
    </row>
    <row r="172" spans="1:6">
      <c r="A172">
        <v>1984</v>
      </c>
      <c r="B172" t="s">
        <v>310</v>
      </c>
      <c r="C172" t="s">
        <v>55</v>
      </c>
      <c r="D172">
        <v>241</v>
      </c>
      <c r="E172">
        <f t="shared" si="2"/>
        <v>0</v>
      </c>
      <c r="F172">
        <v>1</v>
      </c>
    </row>
    <row r="173" spans="1:6">
      <c r="A173">
        <v>1985</v>
      </c>
      <c r="B173" t="s">
        <v>310</v>
      </c>
      <c r="C173" t="s">
        <v>301</v>
      </c>
      <c r="D173">
        <v>241</v>
      </c>
      <c r="E173">
        <f t="shared" si="2"/>
        <v>0</v>
      </c>
      <c r="F173">
        <v>1</v>
      </c>
    </row>
    <row r="174" spans="1:6">
      <c r="A174">
        <v>1986</v>
      </c>
      <c r="B174" t="s">
        <v>310</v>
      </c>
      <c r="C174" t="s">
        <v>301</v>
      </c>
      <c r="D174">
        <v>241</v>
      </c>
      <c r="E174">
        <f t="shared" si="2"/>
        <v>1</v>
      </c>
      <c r="F174">
        <v>1</v>
      </c>
    </row>
    <row r="175" spans="1:6">
      <c r="A175">
        <v>1987</v>
      </c>
      <c r="B175" t="s">
        <v>310</v>
      </c>
      <c r="C175" t="s">
        <v>301</v>
      </c>
      <c r="D175">
        <v>241</v>
      </c>
      <c r="E175">
        <f t="shared" si="2"/>
        <v>1</v>
      </c>
      <c r="F175">
        <v>1</v>
      </c>
    </row>
    <row r="176" spans="1:6">
      <c r="A176">
        <v>1988</v>
      </c>
      <c r="B176" t="s">
        <v>310</v>
      </c>
      <c r="C176" t="s">
        <v>301</v>
      </c>
      <c r="D176">
        <v>241</v>
      </c>
      <c r="E176">
        <f t="shared" si="2"/>
        <v>1</v>
      </c>
      <c r="F176">
        <v>1</v>
      </c>
    </row>
    <row r="177" spans="1:6">
      <c r="A177">
        <v>1989</v>
      </c>
      <c r="B177" t="s">
        <v>310</v>
      </c>
      <c r="C177" t="s">
        <v>301</v>
      </c>
      <c r="D177">
        <v>241</v>
      </c>
      <c r="E177">
        <f t="shared" si="2"/>
        <v>1</v>
      </c>
      <c r="F177">
        <v>1</v>
      </c>
    </row>
    <row r="178" spans="1:6">
      <c r="A178">
        <v>1990</v>
      </c>
      <c r="B178" t="s">
        <v>310</v>
      </c>
      <c r="C178" t="s">
        <v>301</v>
      </c>
      <c r="D178">
        <v>241</v>
      </c>
      <c r="E178">
        <f t="shared" si="2"/>
        <v>1</v>
      </c>
      <c r="F178">
        <v>1</v>
      </c>
    </row>
    <row r="179" spans="1:6">
      <c r="A179">
        <v>1983</v>
      </c>
      <c r="B179" t="s">
        <v>310</v>
      </c>
      <c r="C179" t="s">
        <v>317</v>
      </c>
      <c r="D179">
        <v>255</v>
      </c>
      <c r="E179">
        <f t="shared" si="2"/>
        <v>0</v>
      </c>
      <c r="F179">
        <v>1</v>
      </c>
    </row>
    <row r="180" spans="1:6">
      <c r="A180">
        <v>1984</v>
      </c>
      <c r="B180" t="s">
        <v>310</v>
      </c>
      <c r="C180" t="s">
        <v>317</v>
      </c>
      <c r="D180">
        <v>255</v>
      </c>
      <c r="E180">
        <f t="shared" si="2"/>
        <v>1</v>
      </c>
      <c r="F180">
        <v>1</v>
      </c>
    </row>
    <row r="181" spans="1:6">
      <c r="A181">
        <v>1985</v>
      </c>
      <c r="B181" t="s">
        <v>310</v>
      </c>
      <c r="C181" t="s">
        <v>301</v>
      </c>
      <c r="D181">
        <v>255</v>
      </c>
      <c r="E181">
        <f t="shared" si="2"/>
        <v>0</v>
      </c>
      <c r="F181">
        <v>1</v>
      </c>
    </row>
    <row r="182" spans="1:6">
      <c r="A182">
        <v>1986</v>
      </c>
      <c r="B182" t="s">
        <v>310</v>
      </c>
      <c r="C182" t="s">
        <v>301</v>
      </c>
      <c r="D182">
        <v>255</v>
      </c>
      <c r="E182">
        <f t="shared" si="2"/>
        <v>1</v>
      </c>
      <c r="F182">
        <v>1</v>
      </c>
    </row>
    <row r="183" spans="1:6">
      <c r="A183">
        <v>1987</v>
      </c>
      <c r="B183" t="s">
        <v>310</v>
      </c>
      <c r="C183" t="s">
        <v>301</v>
      </c>
      <c r="D183">
        <v>255</v>
      </c>
      <c r="E183">
        <f t="shared" si="2"/>
        <v>1</v>
      </c>
      <c r="F183">
        <v>1</v>
      </c>
    </row>
    <row r="184" spans="1:6">
      <c r="A184">
        <v>1988</v>
      </c>
      <c r="B184" t="s">
        <v>310</v>
      </c>
      <c r="C184" t="s">
        <v>301</v>
      </c>
      <c r="D184">
        <v>255</v>
      </c>
      <c r="E184">
        <f t="shared" si="2"/>
        <v>1</v>
      </c>
      <c r="F184">
        <v>1</v>
      </c>
    </row>
    <row r="185" spans="1:6">
      <c r="A185">
        <v>1989</v>
      </c>
      <c r="B185" t="s">
        <v>310</v>
      </c>
      <c r="C185" t="s">
        <v>301</v>
      </c>
      <c r="D185">
        <v>255</v>
      </c>
      <c r="E185">
        <f t="shared" si="2"/>
        <v>1</v>
      </c>
      <c r="F185">
        <v>1</v>
      </c>
    </row>
    <row r="186" spans="1:6">
      <c r="A186">
        <v>1983</v>
      </c>
      <c r="B186" t="s">
        <v>310</v>
      </c>
      <c r="C186" t="s">
        <v>319</v>
      </c>
      <c r="D186">
        <v>275</v>
      </c>
      <c r="E186">
        <f t="shared" si="2"/>
        <v>0</v>
      </c>
      <c r="F186">
        <v>1</v>
      </c>
    </row>
    <row r="187" spans="1:6">
      <c r="A187">
        <v>1984</v>
      </c>
      <c r="B187" t="s">
        <v>310</v>
      </c>
      <c r="C187" t="s">
        <v>319</v>
      </c>
      <c r="D187">
        <v>275</v>
      </c>
      <c r="E187">
        <f t="shared" si="2"/>
        <v>1</v>
      </c>
      <c r="F187">
        <v>1</v>
      </c>
    </row>
    <row r="188" spans="1:6">
      <c r="A188">
        <v>1985</v>
      </c>
      <c r="B188" t="s">
        <v>310</v>
      </c>
      <c r="C188" t="s">
        <v>319</v>
      </c>
      <c r="D188">
        <v>275</v>
      </c>
      <c r="E188">
        <f t="shared" si="2"/>
        <v>1</v>
      </c>
      <c r="F188">
        <v>1</v>
      </c>
    </row>
    <row r="189" spans="1:6">
      <c r="A189">
        <v>1986</v>
      </c>
      <c r="B189" t="s">
        <v>310</v>
      </c>
      <c r="C189" t="s">
        <v>322</v>
      </c>
      <c r="D189">
        <v>275</v>
      </c>
      <c r="E189">
        <f t="shared" si="2"/>
        <v>0</v>
      </c>
      <c r="F189">
        <v>1</v>
      </c>
    </row>
    <row r="190" spans="1:6">
      <c r="A190">
        <v>1987</v>
      </c>
      <c r="B190" t="s">
        <v>310</v>
      </c>
      <c r="C190" t="s">
        <v>322</v>
      </c>
      <c r="D190">
        <v>275</v>
      </c>
      <c r="E190">
        <f t="shared" si="2"/>
        <v>1</v>
      </c>
      <c r="F190">
        <v>1</v>
      </c>
    </row>
    <row r="191" spans="1:6">
      <c r="A191">
        <v>1988</v>
      </c>
      <c r="B191" t="s">
        <v>310</v>
      </c>
      <c r="C191" t="s">
        <v>322</v>
      </c>
      <c r="D191">
        <v>275</v>
      </c>
      <c r="E191">
        <f t="shared" si="2"/>
        <v>1</v>
      </c>
      <c r="F191">
        <v>1</v>
      </c>
    </row>
    <row r="192" spans="1:6">
      <c r="A192">
        <v>1989</v>
      </c>
      <c r="B192" t="s">
        <v>310</v>
      </c>
      <c r="C192" t="s">
        <v>322</v>
      </c>
      <c r="D192">
        <v>275</v>
      </c>
      <c r="E192">
        <f t="shared" si="2"/>
        <v>1</v>
      </c>
      <c r="F192">
        <v>1</v>
      </c>
    </row>
    <row r="193" spans="1:6">
      <c r="A193">
        <v>1990</v>
      </c>
      <c r="B193" t="s">
        <v>310</v>
      </c>
      <c r="C193" t="s">
        <v>322</v>
      </c>
      <c r="D193">
        <v>275</v>
      </c>
      <c r="E193">
        <f t="shared" si="2"/>
        <v>1</v>
      </c>
      <c r="F193">
        <v>1</v>
      </c>
    </row>
    <row r="194" spans="1:6">
      <c r="A194">
        <v>1983</v>
      </c>
      <c r="B194" t="s">
        <v>310</v>
      </c>
      <c r="C194" t="s">
        <v>313</v>
      </c>
      <c r="D194">
        <v>281</v>
      </c>
      <c r="E194">
        <f t="shared" si="2"/>
        <v>0</v>
      </c>
      <c r="F194">
        <v>1</v>
      </c>
    </row>
    <row r="195" spans="1:6">
      <c r="A195">
        <v>1984</v>
      </c>
      <c r="B195" t="s">
        <v>310</v>
      </c>
      <c r="C195" t="s">
        <v>311</v>
      </c>
      <c r="D195">
        <v>281</v>
      </c>
      <c r="E195">
        <f t="shared" ref="E195:E258" si="3">IF(AND(C195=C194,D195=D194),1,0)</f>
        <v>0</v>
      </c>
      <c r="F195">
        <v>1</v>
      </c>
    </row>
    <row r="196" spans="1:6">
      <c r="A196">
        <v>1985</v>
      </c>
      <c r="B196" t="s">
        <v>310</v>
      </c>
      <c r="C196" t="s">
        <v>311</v>
      </c>
      <c r="D196">
        <v>281</v>
      </c>
      <c r="E196">
        <f t="shared" si="3"/>
        <v>1</v>
      </c>
      <c r="F196">
        <v>1</v>
      </c>
    </row>
    <row r="197" spans="1:6">
      <c r="A197">
        <v>1986</v>
      </c>
      <c r="B197" t="s">
        <v>310</v>
      </c>
      <c r="C197" t="s">
        <v>311</v>
      </c>
      <c r="D197">
        <v>281</v>
      </c>
      <c r="E197">
        <f t="shared" si="3"/>
        <v>1</v>
      </c>
      <c r="F197">
        <v>1</v>
      </c>
    </row>
    <row r="198" spans="1:6">
      <c r="A198">
        <v>1987</v>
      </c>
      <c r="B198" t="s">
        <v>310</v>
      </c>
      <c r="C198" t="s">
        <v>311</v>
      </c>
      <c r="D198">
        <v>281</v>
      </c>
      <c r="E198">
        <f t="shared" si="3"/>
        <v>1</v>
      </c>
      <c r="F198">
        <v>1</v>
      </c>
    </row>
    <row r="199" spans="1:6">
      <c r="A199">
        <v>1988</v>
      </c>
      <c r="B199" t="s">
        <v>310</v>
      </c>
      <c r="C199" t="s">
        <v>311</v>
      </c>
      <c r="D199">
        <v>281</v>
      </c>
      <c r="E199">
        <f t="shared" si="3"/>
        <v>1</v>
      </c>
      <c r="F199">
        <v>1</v>
      </c>
    </row>
    <row r="200" spans="1:6">
      <c r="A200">
        <v>1989</v>
      </c>
      <c r="B200" t="s">
        <v>310</v>
      </c>
      <c r="C200" t="s">
        <v>311</v>
      </c>
      <c r="D200">
        <v>281</v>
      </c>
      <c r="E200">
        <f t="shared" si="3"/>
        <v>1</v>
      </c>
      <c r="F200">
        <v>1</v>
      </c>
    </row>
    <row r="201" spans="1:6">
      <c r="A201">
        <v>1990</v>
      </c>
      <c r="B201" t="s">
        <v>310</v>
      </c>
      <c r="C201" t="s">
        <v>301</v>
      </c>
      <c r="D201">
        <v>281</v>
      </c>
      <c r="E201">
        <f t="shared" si="3"/>
        <v>0</v>
      </c>
      <c r="F201">
        <v>1</v>
      </c>
    </row>
    <row r="202" spans="1:6">
      <c r="A202">
        <v>1983</v>
      </c>
      <c r="B202" t="s">
        <v>298</v>
      </c>
      <c r="C202" t="s">
        <v>299</v>
      </c>
      <c r="D202">
        <v>291</v>
      </c>
      <c r="E202">
        <f t="shared" si="3"/>
        <v>0</v>
      </c>
      <c r="F202">
        <v>1</v>
      </c>
    </row>
    <row r="203" spans="1:6">
      <c r="A203">
        <v>1984</v>
      </c>
      <c r="B203" t="s">
        <v>298</v>
      </c>
      <c r="C203" t="s">
        <v>301</v>
      </c>
      <c r="D203">
        <v>291</v>
      </c>
      <c r="E203">
        <f t="shared" si="3"/>
        <v>0</v>
      </c>
      <c r="F203">
        <v>1</v>
      </c>
    </row>
    <row r="204" spans="1:6">
      <c r="A204">
        <v>1985</v>
      </c>
      <c r="B204" t="s">
        <v>298</v>
      </c>
      <c r="C204" t="s">
        <v>301</v>
      </c>
      <c r="D204">
        <v>291</v>
      </c>
      <c r="E204">
        <f t="shared" si="3"/>
        <v>1</v>
      </c>
      <c r="F204">
        <v>1</v>
      </c>
    </row>
    <row r="205" spans="1:6">
      <c r="A205">
        <v>1986</v>
      </c>
      <c r="B205" t="s">
        <v>298</v>
      </c>
      <c r="C205" t="s">
        <v>301</v>
      </c>
      <c r="D205">
        <v>291</v>
      </c>
      <c r="E205">
        <f t="shared" si="3"/>
        <v>1</v>
      </c>
      <c r="F205">
        <v>1</v>
      </c>
    </row>
    <row r="206" spans="1:6">
      <c r="A206">
        <v>1987</v>
      </c>
      <c r="B206" t="s">
        <v>298</v>
      </c>
      <c r="C206" t="s">
        <v>301</v>
      </c>
      <c r="D206">
        <v>291</v>
      </c>
      <c r="E206">
        <f t="shared" si="3"/>
        <v>1</v>
      </c>
      <c r="F206">
        <v>1</v>
      </c>
    </row>
    <row r="207" spans="1:6">
      <c r="A207">
        <v>1988</v>
      </c>
      <c r="B207" t="s">
        <v>298</v>
      </c>
      <c r="C207" t="s">
        <v>301</v>
      </c>
      <c r="D207">
        <v>291</v>
      </c>
      <c r="E207">
        <f t="shared" si="3"/>
        <v>1</v>
      </c>
      <c r="F207">
        <v>1</v>
      </c>
    </row>
    <row r="208" spans="1:6">
      <c r="A208">
        <v>1989</v>
      </c>
      <c r="B208" t="s">
        <v>298</v>
      </c>
      <c r="C208" t="s">
        <v>301</v>
      </c>
      <c r="D208">
        <v>291</v>
      </c>
      <c r="E208">
        <f t="shared" si="3"/>
        <v>1</v>
      </c>
      <c r="F208">
        <v>1</v>
      </c>
    </row>
    <row r="209" spans="1:6">
      <c r="A209">
        <v>1990</v>
      </c>
      <c r="B209" t="s">
        <v>298</v>
      </c>
      <c r="C209" t="s">
        <v>301</v>
      </c>
      <c r="D209">
        <v>291</v>
      </c>
      <c r="E209">
        <f t="shared" si="3"/>
        <v>1</v>
      </c>
      <c r="F209">
        <v>1</v>
      </c>
    </row>
    <row r="210" spans="1:6">
      <c r="A210">
        <v>1991</v>
      </c>
      <c r="B210" t="s">
        <v>298</v>
      </c>
      <c r="C210" t="s">
        <v>301</v>
      </c>
      <c r="D210">
        <v>291</v>
      </c>
      <c r="E210">
        <f t="shared" si="3"/>
        <v>1</v>
      </c>
      <c r="F210">
        <v>1</v>
      </c>
    </row>
    <row r="211" spans="1:6">
      <c r="A211">
        <v>1983</v>
      </c>
      <c r="B211" t="s">
        <v>310</v>
      </c>
      <c r="C211" t="s">
        <v>312</v>
      </c>
      <c r="D211">
        <v>335</v>
      </c>
      <c r="E211">
        <f t="shared" si="3"/>
        <v>0</v>
      </c>
      <c r="F211">
        <v>1</v>
      </c>
    </row>
    <row r="212" spans="1:6">
      <c r="A212">
        <v>1984</v>
      </c>
      <c r="B212" t="s">
        <v>310</v>
      </c>
      <c r="C212" t="s">
        <v>312</v>
      </c>
      <c r="D212">
        <v>335</v>
      </c>
      <c r="E212">
        <f t="shared" si="3"/>
        <v>1</v>
      </c>
      <c r="F212">
        <v>1</v>
      </c>
    </row>
    <row r="213" spans="1:6">
      <c r="A213">
        <v>1985</v>
      </c>
      <c r="B213" t="s">
        <v>310</v>
      </c>
      <c r="C213" t="s">
        <v>312</v>
      </c>
      <c r="D213">
        <v>335</v>
      </c>
      <c r="E213">
        <f t="shared" si="3"/>
        <v>1</v>
      </c>
      <c r="F213">
        <v>1</v>
      </c>
    </row>
    <row r="214" spans="1:6">
      <c r="A214">
        <v>1986</v>
      </c>
      <c r="B214" t="s">
        <v>310</v>
      </c>
      <c r="C214" t="s">
        <v>312</v>
      </c>
      <c r="D214">
        <v>335</v>
      </c>
      <c r="E214">
        <f t="shared" si="3"/>
        <v>1</v>
      </c>
      <c r="F214">
        <v>1</v>
      </c>
    </row>
    <row r="215" spans="1:6">
      <c r="A215">
        <v>1987</v>
      </c>
      <c r="B215" t="s">
        <v>310</v>
      </c>
      <c r="C215" t="s">
        <v>312</v>
      </c>
      <c r="D215">
        <v>335</v>
      </c>
      <c r="E215">
        <f t="shared" si="3"/>
        <v>1</v>
      </c>
      <c r="F215">
        <v>1</v>
      </c>
    </row>
    <row r="216" spans="1:6">
      <c r="A216">
        <v>1988</v>
      </c>
      <c r="B216" t="s">
        <v>310</v>
      </c>
      <c r="C216" t="s">
        <v>299</v>
      </c>
      <c r="D216">
        <v>335</v>
      </c>
      <c r="E216">
        <f t="shared" si="3"/>
        <v>0</v>
      </c>
      <c r="F216">
        <v>1</v>
      </c>
    </row>
    <row r="217" spans="1:6">
      <c r="A217">
        <v>1989</v>
      </c>
      <c r="B217" t="s">
        <v>310</v>
      </c>
      <c r="C217" t="s">
        <v>299</v>
      </c>
      <c r="D217">
        <v>335</v>
      </c>
      <c r="E217">
        <f t="shared" si="3"/>
        <v>1</v>
      </c>
      <c r="F217">
        <v>1</v>
      </c>
    </row>
    <row r="218" spans="1:6">
      <c r="A218">
        <v>1990</v>
      </c>
      <c r="B218" t="s">
        <v>310</v>
      </c>
      <c r="C218" t="s">
        <v>299</v>
      </c>
      <c r="D218">
        <v>335</v>
      </c>
      <c r="E218">
        <f t="shared" si="3"/>
        <v>1</v>
      </c>
      <c r="F218">
        <v>1</v>
      </c>
    </row>
    <row r="219" spans="1:6">
      <c r="A219">
        <v>1991</v>
      </c>
      <c r="B219" t="s">
        <v>310</v>
      </c>
      <c r="C219" t="s">
        <v>299</v>
      </c>
      <c r="D219">
        <v>335</v>
      </c>
      <c r="E219">
        <f t="shared" si="3"/>
        <v>1</v>
      </c>
      <c r="F219">
        <v>1</v>
      </c>
    </row>
    <row r="220" spans="1:6">
      <c r="A220">
        <v>1983</v>
      </c>
      <c r="B220" t="s">
        <v>310</v>
      </c>
      <c r="C220" t="s">
        <v>314</v>
      </c>
      <c r="D220">
        <v>341</v>
      </c>
      <c r="E220">
        <f t="shared" si="3"/>
        <v>0</v>
      </c>
      <c r="F220">
        <v>1</v>
      </c>
    </row>
    <row r="221" spans="1:6">
      <c r="A221">
        <v>1984</v>
      </c>
      <c r="B221" t="s">
        <v>310</v>
      </c>
      <c r="C221" t="s">
        <v>314</v>
      </c>
      <c r="D221">
        <v>341</v>
      </c>
      <c r="E221">
        <f t="shared" si="3"/>
        <v>1</v>
      </c>
      <c r="F221">
        <v>1</v>
      </c>
    </row>
    <row r="222" spans="1:6">
      <c r="A222">
        <v>1985</v>
      </c>
      <c r="B222" t="s">
        <v>310</v>
      </c>
      <c r="C222" t="s">
        <v>314</v>
      </c>
      <c r="D222">
        <v>341</v>
      </c>
      <c r="E222">
        <f t="shared" si="3"/>
        <v>1</v>
      </c>
      <c r="F222">
        <v>1</v>
      </c>
    </row>
    <row r="223" spans="1:6">
      <c r="A223">
        <v>1986</v>
      </c>
      <c r="B223" t="s">
        <v>310</v>
      </c>
      <c r="C223" t="s">
        <v>314</v>
      </c>
      <c r="D223">
        <v>341</v>
      </c>
      <c r="E223">
        <f t="shared" si="3"/>
        <v>1</v>
      </c>
      <c r="F223">
        <v>1</v>
      </c>
    </row>
    <row r="224" spans="1:6">
      <c r="A224">
        <v>1987</v>
      </c>
      <c r="B224" t="s">
        <v>310</v>
      </c>
      <c r="C224" t="s">
        <v>314</v>
      </c>
      <c r="D224">
        <v>341</v>
      </c>
      <c r="E224">
        <f t="shared" si="3"/>
        <v>1</v>
      </c>
      <c r="F224">
        <v>1</v>
      </c>
    </row>
    <row r="225" spans="1:6">
      <c r="A225">
        <v>1988</v>
      </c>
      <c r="B225" t="s">
        <v>310</v>
      </c>
      <c r="C225" t="s">
        <v>314</v>
      </c>
      <c r="D225">
        <v>341</v>
      </c>
      <c r="E225">
        <f t="shared" si="3"/>
        <v>1</v>
      </c>
      <c r="F225">
        <v>1</v>
      </c>
    </row>
    <row r="226" spans="1:6">
      <c r="A226">
        <v>1989</v>
      </c>
      <c r="B226" t="s">
        <v>310</v>
      </c>
      <c r="C226" t="s">
        <v>314</v>
      </c>
      <c r="D226">
        <v>341</v>
      </c>
      <c r="E226">
        <f t="shared" si="3"/>
        <v>1</v>
      </c>
      <c r="F226">
        <v>1</v>
      </c>
    </row>
    <row r="227" spans="1:6">
      <c r="A227">
        <v>1990</v>
      </c>
      <c r="B227" t="s">
        <v>310</v>
      </c>
      <c r="C227" t="s">
        <v>314</v>
      </c>
      <c r="D227">
        <v>341</v>
      </c>
      <c r="E227">
        <f t="shared" si="3"/>
        <v>1</v>
      </c>
      <c r="F227">
        <v>1</v>
      </c>
    </row>
    <row r="228" spans="1:6">
      <c r="A228">
        <v>1991</v>
      </c>
      <c r="B228" t="s">
        <v>310</v>
      </c>
      <c r="C228" t="s">
        <v>55</v>
      </c>
      <c r="D228">
        <v>341</v>
      </c>
      <c r="E228">
        <f t="shared" si="3"/>
        <v>0</v>
      </c>
      <c r="F228">
        <v>1</v>
      </c>
    </row>
    <row r="229" spans="1:6">
      <c r="A229">
        <v>1983</v>
      </c>
      <c r="B229" t="s">
        <v>298</v>
      </c>
      <c r="C229" t="s">
        <v>299</v>
      </c>
      <c r="D229">
        <v>354</v>
      </c>
      <c r="E229">
        <f t="shared" si="3"/>
        <v>0</v>
      </c>
      <c r="F229">
        <v>1</v>
      </c>
    </row>
    <row r="230" spans="1:6">
      <c r="A230">
        <v>1984</v>
      </c>
      <c r="B230" t="s">
        <v>298</v>
      </c>
      <c r="C230" t="s">
        <v>299</v>
      </c>
      <c r="D230">
        <v>354</v>
      </c>
      <c r="E230">
        <f t="shared" si="3"/>
        <v>1</v>
      </c>
      <c r="F230">
        <v>1</v>
      </c>
    </row>
    <row r="231" spans="1:6">
      <c r="A231">
        <v>1985</v>
      </c>
      <c r="B231" t="s">
        <v>298</v>
      </c>
      <c r="C231" t="s">
        <v>299</v>
      </c>
      <c r="D231">
        <v>354</v>
      </c>
      <c r="E231">
        <f t="shared" si="3"/>
        <v>1</v>
      </c>
      <c r="F231">
        <v>1</v>
      </c>
    </row>
    <row r="232" spans="1:6">
      <c r="A232">
        <v>1986</v>
      </c>
      <c r="B232" t="s">
        <v>298</v>
      </c>
      <c r="C232" t="s">
        <v>299</v>
      </c>
      <c r="D232">
        <v>354</v>
      </c>
      <c r="E232">
        <f t="shared" si="3"/>
        <v>1</v>
      </c>
      <c r="F232">
        <v>1</v>
      </c>
    </row>
    <row r="233" spans="1:6">
      <c r="A233">
        <v>1987</v>
      </c>
      <c r="B233" t="s">
        <v>298</v>
      </c>
      <c r="C233" t="s">
        <v>299</v>
      </c>
      <c r="D233">
        <v>354</v>
      </c>
      <c r="E233">
        <f t="shared" si="3"/>
        <v>1</v>
      </c>
      <c r="F233">
        <v>1</v>
      </c>
    </row>
    <row r="234" spans="1:6">
      <c r="A234">
        <v>1988</v>
      </c>
      <c r="B234" t="s">
        <v>298</v>
      </c>
      <c r="C234" t="s">
        <v>299</v>
      </c>
      <c r="D234">
        <v>354</v>
      </c>
      <c r="E234">
        <f t="shared" si="3"/>
        <v>1</v>
      </c>
      <c r="F234">
        <v>1</v>
      </c>
    </row>
    <row r="235" spans="1:6">
      <c r="A235">
        <v>1989</v>
      </c>
      <c r="B235" t="s">
        <v>298</v>
      </c>
      <c r="C235" t="s">
        <v>299</v>
      </c>
      <c r="D235">
        <v>354</v>
      </c>
      <c r="E235">
        <f t="shared" si="3"/>
        <v>1</v>
      </c>
      <c r="F235">
        <v>1</v>
      </c>
    </row>
    <row r="236" spans="1:6">
      <c r="A236">
        <v>1990</v>
      </c>
      <c r="B236" t="s">
        <v>298</v>
      </c>
      <c r="C236" t="s">
        <v>299</v>
      </c>
      <c r="D236">
        <v>354</v>
      </c>
      <c r="E236">
        <f t="shared" si="3"/>
        <v>1</v>
      </c>
      <c r="F236">
        <v>1</v>
      </c>
    </row>
    <row r="237" spans="1:6">
      <c r="A237">
        <v>1991</v>
      </c>
      <c r="B237" t="s">
        <v>298</v>
      </c>
      <c r="C237" t="s">
        <v>299</v>
      </c>
      <c r="D237">
        <v>354</v>
      </c>
      <c r="E237">
        <f t="shared" si="3"/>
        <v>1</v>
      </c>
      <c r="F237">
        <v>1</v>
      </c>
    </row>
    <row r="238" spans="1:6">
      <c r="A238">
        <v>1983</v>
      </c>
      <c r="B238" t="s">
        <v>310</v>
      </c>
      <c r="C238" t="s">
        <v>311</v>
      </c>
      <c r="D238">
        <v>365</v>
      </c>
      <c r="E238">
        <f t="shared" si="3"/>
        <v>0</v>
      </c>
      <c r="F238">
        <v>1</v>
      </c>
    </row>
    <row r="239" spans="1:6">
      <c r="A239">
        <v>1984</v>
      </c>
      <c r="B239" t="s">
        <v>310</v>
      </c>
      <c r="C239" t="s">
        <v>311</v>
      </c>
      <c r="D239">
        <v>365</v>
      </c>
      <c r="E239">
        <f t="shared" si="3"/>
        <v>1</v>
      </c>
      <c r="F239">
        <v>1</v>
      </c>
    </row>
    <row r="240" spans="1:6">
      <c r="A240">
        <v>1985</v>
      </c>
      <c r="B240" t="s">
        <v>310</v>
      </c>
      <c r="C240" t="s">
        <v>311</v>
      </c>
      <c r="D240">
        <v>365</v>
      </c>
      <c r="E240">
        <f t="shared" si="3"/>
        <v>1</v>
      </c>
      <c r="F240">
        <v>1</v>
      </c>
    </row>
    <row r="241" spans="1:6">
      <c r="A241">
        <v>1986</v>
      </c>
      <c r="B241" t="s">
        <v>310</v>
      </c>
      <c r="C241" t="s">
        <v>55</v>
      </c>
      <c r="D241">
        <v>365</v>
      </c>
      <c r="E241">
        <f t="shared" si="3"/>
        <v>0</v>
      </c>
      <c r="F241">
        <v>1</v>
      </c>
    </row>
    <row r="242" spans="1:6">
      <c r="A242">
        <v>1987</v>
      </c>
      <c r="B242" t="s">
        <v>310</v>
      </c>
      <c r="C242" t="s">
        <v>55</v>
      </c>
      <c r="D242">
        <v>365</v>
      </c>
      <c r="E242">
        <f t="shared" si="3"/>
        <v>1</v>
      </c>
      <c r="F242">
        <v>1</v>
      </c>
    </row>
    <row r="243" spans="1:6">
      <c r="A243">
        <v>1988</v>
      </c>
      <c r="B243" t="s">
        <v>310</v>
      </c>
      <c r="C243" t="s">
        <v>55</v>
      </c>
      <c r="D243">
        <v>365</v>
      </c>
      <c r="E243">
        <f t="shared" si="3"/>
        <v>1</v>
      </c>
      <c r="F243">
        <v>1</v>
      </c>
    </row>
    <row r="244" spans="1:6">
      <c r="A244">
        <v>1989</v>
      </c>
      <c r="B244" t="s">
        <v>310</v>
      </c>
      <c r="C244" t="s">
        <v>55</v>
      </c>
      <c r="D244">
        <v>365</v>
      </c>
      <c r="E244">
        <f t="shared" si="3"/>
        <v>1</v>
      </c>
      <c r="F244">
        <v>1</v>
      </c>
    </row>
    <row r="245" spans="1:6">
      <c r="A245">
        <v>1990</v>
      </c>
      <c r="B245" t="s">
        <v>310</v>
      </c>
      <c r="C245" t="s">
        <v>55</v>
      </c>
      <c r="D245">
        <v>365</v>
      </c>
      <c r="E245">
        <f t="shared" si="3"/>
        <v>1</v>
      </c>
      <c r="F245">
        <v>1</v>
      </c>
    </row>
    <row r="246" spans="1:6">
      <c r="A246">
        <v>1983</v>
      </c>
      <c r="B246" t="s">
        <v>310</v>
      </c>
      <c r="C246" t="s">
        <v>314</v>
      </c>
      <c r="D246">
        <v>375</v>
      </c>
      <c r="E246">
        <f t="shared" si="3"/>
        <v>0</v>
      </c>
      <c r="F246">
        <v>1</v>
      </c>
    </row>
    <row r="247" spans="1:6">
      <c r="A247">
        <v>1983</v>
      </c>
      <c r="B247" t="s">
        <v>310</v>
      </c>
      <c r="C247" t="s">
        <v>314</v>
      </c>
      <c r="D247">
        <v>375</v>
      </c>
      <c r="E247">
        <f t="shared" si="3"/>
        <v>1</v>
      </c>
      <c r="F247">
        <v>1</v>
      </c>
    </row>
    <row r="248" spans="1:6">
      <c r="A248">
        <v>1984</v>
      </c>
      <c r="B248" t="s">
        <v>310</v>
      </c>
      <c r="C248" t="s">
        <v>314</v>
      </c>
      <c r="D248">
        <v>375</v>
      </c>
      <c r="E248">
        <f t="shared" si="3"/>
        <v>1</v>
      </c>
      <c r="F248">
        <v>1</v>
      </c>
    </row>
    <row r="249" spans="1:6">
      <c r="A249">
        <v>1985</v>
      </c>
      <c r="B249" t="s">
        <v>310</v>
      </c>
      <c r="C249" t="s">
        <v>314</v>
      </c>
      <c r="D249">
        <v>375</v>
      </c>
      <c r="E249">
        <f t="shared" si="3"/>
        <v>1</v>
      </c>
      <c r="F249">
        <v>1</v>
      </c>
    </row>
    <row r="250" spans="1:6">
      <c r="A250">
        <v>1986</v>
      </c>
      <c r="B250" t="s">
        <v>310</v>
      </c>
      <c r="C250" t="s">
        <v>314</v>
      </c>
      <c r="D250">
        <v>375</v>
      </c>
      <c r="E250">
        <f t="shared" si="3"/>
        <v>1</v>
      </c>
      <c r="F250">
        <v>1</v>
      </c>
    </row>
    <row r="251" spans="1:6">
      <c r="A251">
        <v>1987</v>
      </c>
      <c r="B251" t="s">
        <v>310</v>
      </c>
      <c r="C251" t="s">
        <v>299</v>
      </c>
      <c r="D251">
        <v>375</v>
      </c>
      <c r="E251">
        <f t="shared" si="3"/>
        <v>0</v>
      </c>
      <c r="F251">
        <v>1</v>
      </c>
    </row>
    <row r="252" spans="1:6">
      <c r="A252">
        <v>1988</v>
      </c>
      <c r="B252" t="s">
        <v>310</v>
      </c>
      <c r="C252" t="s">
        <v>314</v>
      </c>
      <c r="D252">
        <v>375</v>
      </c>
      <c r="E252">
        <f t="shared" si="3"/>
        <v>0</v>
      </c>
      <c r="F252">
        <v>1</v>
      </c>
    </row>
    <row r="253" spans="1:6">
      <c r="A253">
        <v>1989</v>
      </c>
      <c r="B253" t="s">
        <v>310</v>
      </c>
      <c r="C253" t="s">
        <v>314</v>
      </c>
      <c r="D253">
        <v>375</v>
      </c>
      <c r="E253">
        <f t="shared" si="3"/>
        <v>1</v>
      </c>
      <c r="F253">
        <v>1</v>
      </c>
    </row>
    <row r="254" spans="1:6">
      <c r="A254">
        <v>1990</v>
      </c>
      <c r="B254" t="s">
        <v>310</v>
      </c>
      <c r="C254" t="s">
        <v>314</v>
      </c>
      <c r="D254">
        <v>375</v>
      </c>
      <c r="E254">
        <f t="shared" si="3"/>
        <v>1</v>
      </c>
      <c r="F254">
        <v>1</v>
      </c>
    </row>
    <row r="255" spans="1:6">
      <c r="A255">
        <v>1991</v>
      </c>
      <c r="B255" t="s">
        <v>310</v>
      </c>
      <c r="C255" t="s">
        <v>314</v>
      </c>
      <c r="D255">
        <v>375</v>
      </c>
      <c r="E255">
        <f t="shared" si="3"/>
        <v>1</v>
      </c>
      <c r="F255">
        <v>1</v>
      </c>
    </row>
    <row r="256" spans="1:6">
      <c r="A256">
        <v>1984</v>
      </c>
      <c r="B256" t="s">
        <v>310</v>
      </c>
      <c r="C256" t="s">
        <v>312</v>
      </c>
      <c r="D256">
        <v>391</v>
      </c>
      <c r="E256">
        <f t="shared" si="3"/>
        <v>0</v>
      </c>
      <c r="F256">
        <v>1</v>
      </c>
    </row>
    <row r="257" spans="1:6">
      <c r="A257">
        <v>1986</v>
      </c>
      <c r="B257" t="s">
        <v>310</v>
      </c>
      <c r="C257" t="s">
        <v>312</v>
      </c>
      <c r="D257">
        <v>391</v>
      </c>
      <c r="E257">
        <f t="shared" si="3"/>
        <v>1</v>
      </c>
      <c r="F257">
        <v>1</v>
      </c>
    </row>
    <row r="258" spans="1:6">
      <c r="A258">
        <v>1987</v>
      </c>
      <c r="B258" t="s">
        <v>310</v>
      </c>
      <c r="C258" t="s">
        <v>312</v>
      </c>
      <c r="D258">
        <v>391</v>
      </c>
      <c r="E258">
        <f t="shared" si="3"/>
        <v>1</v>
      </c>
      <c r="F258">
        <v>1</v>
      </c>
    </row>
    <row r="259" spans="1:6">
      <c r="A259">
        <v>1988</v>
      </c>
      <c r="B259" t="s">
        <v>310</v>
      </c>
      <c r="C259" t="s">
        <v>312</v>
      </c>
      <c r="D259">
        <v>391</v>
      </c>
      <c r="E259">
        <f t="shared" ref="E259:E322" si="4">IF(AND(C259=C258,D259=D258),1,0)</f>
        <v>1</v>
      </c>
      <c r="F259">
        <v>1</v>
      </c>
    </row>
    <row r="260" spans="1:6">
      <c r="A260">
        <v>1989</v>
      </c>
      <c r="B260" t="s">
        <v>310</v>
      </c>
      <c r="C260" t="s">
        <v>299</v>
      </c>
      <c r="D260">
        <v>391</v>
      </c>
      <c r="E260">
        <f t="shared" si="4"/>
        <v>0</v>
      </c>
      <c r="F260">
        <v>1</v>
      </c>
    </row>
    <row r="261" spans="1:6">
      <c r="A261">
        <v>1990</v>
      </c>
      <c r="B261" t="s">
        <v>310</v>
      </c>
      <c r="C261" t="s">
        <v>299</v>
      </c>
      <c r="D261">
        <v>391</v>
      </c>
      <c r="E261">
        <f t="shared" si="4"/>
        <v>1</v>
      </c>
      <c r="F261">
        <v>1</v>
      </c>
    </row>
    <row r="262" spans="1:6">
      <c r="A262">
        <v>1983</v>
      </c>
      <c r="B262" t="s">
        <v>310</v>
      </c>
      <c r="C262" t="s">
        <v>314</v>
      </c>
      <c r="D262">
        <v>393</v>
      </c>
      <c r="E262">
        <f t="shared" si="4"/>
        <v>0</v>
      </c>
      <c r="F262">
        <v>1</v>
      </c>
    </row>
    <row r="263" spans="1:6">
      <c r="A263">
        <v>1984</v>
      </c>
      <c r="B263" t="s">
        <v>310</v>
      </c>
      <c r="C263" t="s">
        <v>312</v>
      </c>
      <c r="D263">
        <v>393</v>
      </c>
      <c r="E263">
        <f t="shared" si="4"/>
        <v>0</v>
      </c>
      <c r="F263">
        <v>1</v>
      </c>
    </row>
    <row r="264" spans="1:6">
      <c r="A264">
        <v>1985</v>
      </c>
      <c r="B264" t="s">
        <v>310</v>
      </c>
      <c r="C264" t="s">
        <v>312</v>
      </c>
      <c r="D264">
        <v>393</v>
      </c>
      <c r="E264">
        <f t="shared" si="4"/>
        <v>1</v>
      </c>
      <c r="F264">
        <v>1</v>
      </c>
    </row>
    <row r="265" spans="1:6">
      <c r="A265">
        <v>1986</v>
      </c>
      <c r="B265" t="s">
        <v>310</v>
      </c>
      <c r="C265" t="s">
        <v>312</v>
      </c>
      <c r="D265">
        <v>393</v>
      </c>
      <c r="E265">
        <f t="shared" si="4"/>
        <v>1</v>
      </c>
      <c r="F265">
        <v>1</v>
      </c>
    </row>
    <row r="266" spans="1:6">
      <c r="A266">
        <v>1987</v>
      </c>
      <c r="B266" t="s">
        <v>310</v>
      </c>
      <c r="C266" t="s">
        <v>312</v>
      </c>
      <c r="D266">
        <v>393</v>
      </c>
      <c r="E266">
        <f t="shared" si="4"/>
        <v>1</v>
      </c>
      <c r="F266">
        <v>1</v>
      </c>
    </row>
    <row r="267" spans="1:6">
      <c r="A267">
        <v>1988</v>
      </c>
      <c r="B267" t="s">
        <v>310</v>
      </c>
      <c r="C267" t="s">
        <v>312</v>
      </c>
      <c r="D267">
        <v>393</v>
      </c>
      <c r="E267">
        <f t="shared" si="4"/>
        <v>1</v>
      </c>
      <c r="F267">
        <v>1</v>
      </c>
    </row>
    <row r="268" spans="1:6">
      <c r="A268">
        <v>1989</v>
      </c>
      <c r="B268" t="s">
        <v>310</v>
      </c>
      <c r="C268" t="s">
        <v>299</v>
      </c>
      <c r="D268">
        <v>393</v>
      </c>
      <c r="E268">
        <f t="shared" si="4"/>
        <v>0</v>
      </c>
      <c r="F268">
        <v>1</v>
      </c>
    </row>
    <row r="269" spans="1:6">
      <c r="A269">
        <v>1985</v>
      </c>
      <c r="B269" t="s">
        <v>310</v>
      </c>
      <c r="C269" t="s">
        <v>299</v>
      </c>
      <c r="D269">
        <v>435</v>
      </c>
      <c r="E269">
        <f t="shared" si="4"/>
        <v>0</v>
      </c>
      <c r="F269">
        <v>1</v>
      </c>
    </row>
    <row r="270" spans="1:6">
      <c r="A270">
        <v>1986</v>
      </c>
      <c r="B270" t="s">
        <v>310</v>
      </c>
      <c r="C270" t="s">
        <v>324</v>
      </c>
      <c r="D270">
        <v>435</v>
      </c>
      <c r="E270">
        <f t="shared" si="4"/>
        <v>0</v>
      </c>
      <c r="F270">
        <v>1</v>
      </c>
    </row>
    <row r="271" spans="1:6">
      <c r="A271">
        <v>1987</v>
      </c>
      <c r="B271" t="s">
        <v>310</v>
      </c>
      <c r="C271" t="s">
        <v>321</v>
      </c>
      <c r="D271">
        <v>435</v>
      </c>
      <c r="E271">
        <f t="shared" si="4"/>
        <v>0</v>
      </c>
      <c r="F271">
        <v>1</v>
      </c>
    </row>
    <row r="272" spans="1:6">
      <c r="A272">
        <v>1988</v>
      </c>
      <c r="B272" t="s">
        <v>310</v>
      </c>
      <c r="C272" t="s">
        <v>299</v>
      </c>
      <c r="D272">
        <v>435</v>
      </c>
      <c r="E272">
        <f t="shared" si="4"/>
        <v>0</v>
      </c>
      <c r="F272">
        <v>1</v>
      </c>
    </row>
    <row r="273" spans="1:6">
      <c r="A273">
        <v>1989</v>
      </c>
      <c r="B273" t="s">
        <v>310</v>
      </c>
      <c r="C273" t="s">
        <v>299</v>
      </c>
      <c r="D273">
        <v>435</v>
      </c>
      <c r="E273">
        <f t="shared" si="4"/>
        <v>1</v>
      </c>
      <c r="F273">
        <v>1</v>
      </c>
    </row>
    <row r="274" spans="1:6">
      <c r="A274">
        <v>1990</v>
      </c>
      <c r="B274" t="s">
        <v>310</v>
      </c>
      <c r="C274" t="s">
        <v>299</v>
      </c>
      <c r="D274">
        <v>435</v>
      </c>
      <c r="E274">
        <f t="shared" si="4"/>
        <v>1</v>
      </c>
      <c r="F274">
        <v>1</v>
      </c>
    </row>
    <row r="275" spans="1:6">
      <c r="A275">
        <v>1983</v>
      </c>
      <c r="B275" t="s">
        <v>310</v>
      </c>
      <c r="C275" t="s">
        <v>320</v>
      </c>
      <c r="D275">
        <v>441</v>
      </c>
      <c r="E275">
        <f t="shared" si="4"/>
        <v>0</v>
      </c>
      <c r="F275">
        <v>1</v>
      </c>
    </row>
    <row r="276" spans="1:6">
      <c r="A276">
        <v>1984</v>
      </c>
      <c r="B276" t="s">
        <v>310</v>
      </c>
      <c r="C276" t="s">
        <v>312</v>
      </c>
      <c r="D276">
        <v>441</v>
      </c>
      <c r="E276">
        <f t="shared" si="4"/>
        <v>0</v>
      </c>
      <c r="F276">
        <v>1</v>
      </c>
    </row>
    <row r="277" spans="1:6">
      <c r="A277">
        <v>1985</v>
      </c>
      <c r="B277" t="s">
        <v>310</v>
      </c>
      <c r="C277" t="s">
        <v>311</v>
      </c>
      <c r="D277">
        <v>441</v>
      </c>
      <c r="E277">
        <f t="shared" si="4"/>
        <v>0</v>
      </c>
      <c r="F277">
        <v>1</v>
      </c>
    </row>
    <row r="278" spans="1:6">
      <c r="A278">
        <v>1986</v>
      </c>
      <c r="B278" t="s">
        <v>310</v>
      </c>
      <c r="C278" t="s">
        <v>312</v>
      </c>
      <c r="D278">
        <v>441</v>
      </c>
      <c r="E278">
        <f t="shared" si="4"/>
        <v>0</v>
      </c>
      <c r="F278">
        <v>1</v>
      </c>
    </row>
    <row r="279" spans="1:6">
      <c r="A279">
        <v>1987</v>
      </c>
      <c r="B279" t="s">
        <v>310</v>
      </c>
      <c r="C279" t="s">
        <v>314</v>
      </c>
      <c r="D279">
        <v>441</v>
      </c>
      <c r="E279">
        <f t="shared" si="4"/>
        <v>0</v>
      </c>
      <c r="F279">
        <v>1</v>
      </c>
    </row>
    <row r="280" spans="1:6">
      <c r="A280">
        <v>1988</v>
      </c>
      <c r="B280" t="s">
        <v>310</v>
      </c>
      <c r="C280" t="s">
        <v>311</v>
      </c>
      <c r="D280">
        <v>441</v>
      </c>
      <c r="E280">
        <f t="shared" si="4"/>
        <v>0</v>
      </c>
      <c r="F280">
        <v>1</v>
      </c>
    </row>
    <row r="281" spans="1:6">
      <c r="A281">
        <v>1989</v>
      </c>
      <c r="B281" t="s">
        <v>310</v>
      </c>
      <c r="C281" t="s">
        <v>55</v>
      </c>
      <c r="D281">
        <v>441</v>
      </c>
      <c r="E281">
        <f t="shared" si="4"/>
        <v>0</v>
      </c>
      <c r="F281">
        <v>1</v>
      </c>
    </row>
    <row r="282" spans="1:6">
      <c r="A282">
        <v>1990</v>
      </c>
      <c r="B282" t="s">
        <v>310</v>
      </c>
      <c r="C282" t="s">
        <v>55</v>
      </c>
      <c r="D282">
        <v>441</v>
      </c>
      <c r="E282">
        <f t="shared" si="4"/>
        <v>1</v>
      </c>
      <c r="F282">
        <v>1</v>
      </c>
    </row>
    <row r="283" spans="1:6">
      <c r="A283">
        <v>1986</v>
      </c>
      <c r="B283" t="s">
        <v>310</v>
      </c>
      <c r="C283" t="s">
        <v>318</v>
      </c>
      <c r="D283">
        <v>451</v>
      </c>
      <c r="E283">
        <f t="shared" si="4"/>
        <v>0</v>
      </c>
      <c r="F283">
        <v>1</v>
      </c>
    </row>
    <row r="284" spans="1:6">
      <c r="A284">
        <v>1987</v>
      </c>
      <c r="B284" t="s">
        <v>310</v>
      </c>
      <c r="C284" t="s">
        <v>318</v>
      </c>
      <c r="D284">
        <v>451</v>
      </c>
      <c r="E284">
        <f t="shared" si="4"/>
        <v>1</v>
      </c>
      <c r="F284">
        <v>1</v>
      </c>
    </row>
    <row r="285" spans="1:6">
      <c r="A285">
        <v>1988</v>
      </c>
      <c r="B285" t="s">
        <v>310</v>
      </c>
      <c r="C285" t="s">
        <v>314</v>
      </c>
      <c r="D285">
        <v>451</v>
      </c>
      <c r="E285">
        <f t="shared" si="4"/>
        <v>0</v>
      </c>
      <c r="F285">
        <v>1</v>
      </c>
    </row>
    <row r="286" spans="1:6">
      <c r="A286">
        <v>1989</v>
      </c>
      <c r="B286" t="s">
        <v>310</v>
      </c>
      <c r="C286" t="s">
        <v>314</v>
      </c>
      <c r="D286">
        <v>451</v>
      </c>
      <c r="E286">
        <f t="shared" si="4"/>
        <v>1</v>
      </c>
      <c r="F286">
        <v>1</v>
      </c>
    </row>
    <row r="287" spans="1:6">
      <c r="A287">
        <v>1990</v>
      </c>
      <c r="B287" t="s">
        <v>310</v>
      </c>
      <c r="C287" t="s">
        <v>318</v>
      </c>
      <c r="D287">
        <v>451</v>
      </c>
      <c r="E287">
        <f t="shared" si="4"/>
        <v>0</v>
      </c>
      <c r="F287">
        <v>1</v>
      </c>
    </row>
    <row r="288" spans="1:6">
      <c r="A288">
        <v>1983</v>
      </c>
      <c r="B288" t="s">
        <v>298</v>
      </c>
      <c r="C288" t="s">
        <v>301</v>
      </c>
      <c r="D288">
        <v>452</v>
      </c>
      <c r="E288">
        <f t="shared" si="4"/>
        <v>0</v>
      </c>
      <c r="F288">
        <v>1</v>
      </c>
    </row>
    <row r="289" spans="1:6">
      <c r="A289">
        <v>1983</v>
      </c>
      <c r="B289" t="s">
        <v>298</v>
      </c>
      <c r="C289" t="s">
        <v>301</v>
      </c>
      <c r="D289">
        <v>452</v>
      </c>
      <c r="E289">
        <f t="shared" si="4"/>
        <v>1</v>
      </c>
      <c r="F289">
        <v>1</v>
      </c>
    </row>
    <row r="290" spans="1:6">
      <c r="A290">
        <v>1984</v>
      </c>
      <c r="B290" t="s">
        <v>298</v>
      </c>
      <c r="C290" t="s">
        <v>301</v>
      </c>
      <c r="D290">
        <v>452</v>
      </c>
      <c r="E290">
        <f t="shared" si="4"/>
        <v>1</v>
      </c>
      <c r="F290">
        <v>1</v>
      </c>
    </row>
    <row r="291" spans="1:6">
      <c r="A291">
        <v>1985</v>
      </c>
      <c r="B291" t="s">
        <v>298</v>
      </c>
      <c r="C291" t="s">
        <v>301</v>
      </c>
      <c r="D291">
        <v>452</v>
      </c>
      <c r="E291">
        <f t="shared" si="4"/>
        <v>1</v>
      </c>
      <c r="F291">
        <v>1</v>
      </c>
    </row>
    <row r="292" spans="1:6">
      <c r="A292">
        <v>1986</v>
      </c>
      <c r="B292" t="s">
        <v>298</v>
      </c>
      <c r="C292" t="s">
        <v>301</v>
      </c>
      <c r="D292">
        <v>452</v>
      </c>
      <c r="E292">
        <f t="shared" si="4"/>
        <v>1</v>
      </c>
      <c r="F292">
        <v>1</v>
      </c>
    </row>
    <row r="293" spans="1:6">
      <c r="A293">
        <v>1987</v>
      </c>
      <c r="B293" t="s">
        <v>298</v>
      </c>
      <c r="C293" t="s">
        <v>301</v>
      </c>
      <c r="D293">
        <v>452</v>
      </c>
      <c r="E293">
        <f t="shared" si="4"/>
        <v>1</v>
      </c>
      <c r="F293">
        <v>1</v>
      </c>
    </row>
    <row r="294" spans="1:6">
      <c r="A294">
        <v>1988</v>
      </c>
      <c r="B294" t="s">
        <v>298</v>
      </c>
      <c r="C294" t="s">
        <v>301</v>
      </c>
      <c r="D294">
        <v>452</v>
      </c>
      <c r="E294">
        <f t="shared" si="4"/>
        <v>1</v>
      </c>
      <c r="F294">
        <v>1</v>
      </c>
    </row>
    <row r="295" spans="1:6">
      <c r="A295">
        <v>1989</v>
      </c>
      <c r="B295" t="s">
        <v>298</v>
      </c>
      <c r="C295" t="s">
        <v>301</v>
      </c>
      <c r="D295">
        <v>452</v>
      </c>
      <c r="E295">
        <f t="shared" si="4"/>
        <v>1</v>
      </c>
      <c r="F295">
        <v>1</v>
      </c>
    </row>
    <row r="296" spans="1:6">
      <c r="A296">
        <v>1990</v>
      </c>
      <c r="B296" t="s">
        <v>298</v>
      </c>
      <c r="C296" t="s">
        <v>301</v>
      </c>
      <c r="D296">
        <v>452</v>
      </c>
      <c r="E296">
        <f t="shared" si="4"/>
        <v>1</v>
      </c>
      <c r="F296">
        <v>1</v>
      </c>
    </row>
    <row r="297" spans="1:6">
      <c r="A297">
        <v>1991</v>
      </c>
      <c r="B297" t="s">
        <v>298</v>
      </c>
      <c r="C297" t="s">
        <v>301</v>
      </c>
      <c r="D297">
        <v>452</v>
      </c>
      <c r="E297">
        <f t="shared" si="4"/>
        <v>1</v>
      </c>
      <c r="F297">
        <v>1</v>
      </c>
    </row>
    <row r="298" spans="1:6">
      <c r="A298">
        <v>1983</v>
      </c>
      <c r="B298" t="s">
        <v>310</v>
      </c>
      <c r="C298" t="s">
        <v>312</v>
      </c>
      <c r="D298">
        <v>455</v>
      </c>
      <c r="E298">
        <f t="shared" si="4"/>
        <v>0</v>
      </c>
      <c r="F298">
        <v>1</v>
      </c>
    </row>
    <row r="299" spans="1:6">
      <c r="A299">
        <v>1985</v>
      </c>
      <c r="B299" t="s">
        <v>310</v>
      </c>
      <c r="C299" t="s">
        <v>311</v>
      </c>
      <c r="D299">
        <v>455</v>
      </c>
      <c r="E299">
        <f t="shared" si="4"/>
        <v>0</v>
      </c>
      <c r="F299">
        <v>1</v>
      </c>
    </row>
    <row r="300" spans="1:6">
      <c r="A300">
        <v>1986</v>
      </c>
      <c r="B300" t="s">
        <v>310</v>
      </c>
      <c r="C300" t="s">
        <v>311</v>
      </c>
      <c r="D300">
        <v>455</v>
      </c>
      <c r="E300">
        <f t="shared" si="4"/>
        <v>1</v>
      </c>
      <c r="F300">
        <v>1</v>
      </c>
    </row>
    <row r="301" spans="1:6">
      <c r="A301">
        <v>1987</v>
      </c>
      <c r="B301" t="s">
        <v>310</v>
      </c>
      <c r="C301" t="s">
        <v>311</v>
      </c>
      <c r="D301">
        <v>455</v>
      </c>
      <c r="E301">
        <f t="shared" si="4"/>
        <v>1</v>
      </c>
      <c r="F301">
        <v>1</v>
      </c>
    </row>
    <row r="302" spans="1:6">
      <c r="A302">
        <v>1988</v>
      </c>
      <c r="B302" t="s">
        <v>310</v>
      </c>
      <c r="C302" t="s">
        <v>311</v>
      </c>
      <c r="D302">
        <v>455</v>
      </c>
      <c r="E302">
        <f t="shared" si="4"/>
        <v>1</v>
      </c>
      <c r="F302">
        <v>1</v>
      </c>
    </row>
    <row r="303" spans="1:6">
      <c r="A303">
        <v>1989</v>
      </c>
      <c r="B303" t="s">
        <v>310</v>
      </c>
      <c r="C303" t="s">
        <v>311</v>
      </c>
      <c r="D303">
        <v>455</v>
      </c>
      <c r="E303">
        <f t="shared" si="4"/>
        <v>1</v>
      </c>
      <c r="F303">
        <v>1</v>
      </c>
    </row>
    <row r="304" spans="1:6">
      <c r="A304">
        <v>1990</v>
      </c>
      <c r="B304" t="s">
        <v>310</v>
      </c>
      <c r="C304" t="s">
        <v>299</v>
      </c>
      <c r="D304">
        <v>455</v>
      </c>
      <c r="E304">
        <f t="shared" si="4"/>
        <v>0</v>
      </c>
      <c r="F304">
        <v>1</v>
      </c>
    </row>
    <row r="305" spans="1:6">
      <c r="A305">
        <v>1986</v>
      </c>
      <c r="B305" t="s">
        <v>310</v>
      </c>
      <c r="C305" t="s">
        <v>318</v>
      </c>
      <c r="D305">
        <v>465</v>
      </c>
      <c r="E305">
        <f t="shared" si="4"/>
        <v>0</v>
      </c>
      <c r="F305">
        <v>1</v>
      </c>
    </row>
    <row r="306" spans="1:6">
      <c r="A306">
        <v>1987</v>
      </c>
      <c r="B306" t="s">
        <v>310</v>
      </c>
      <c r="C306" t="s">
        <v>322</v>
      </c>
      <c r="D306">
        <v>465</v>
      </c>
      <c r="E306">
        <f t="shared" si="4"/>
        <v>0</v>
      </c>
      <c r="F306">
        <v>1</v>
      </c>
    </row>
    <row r="307" spans="1:6">
      <c r="A307">
        <v>1988</v>
      </c>
      <c r="B307" t="s">
        <v>310</v>
      </c>
      <c r="C307" t="s">
        <v>322</v>
      </c>
      <c r="D307">
        <v>465</v>
      </c>
      <c r="E307">
        <f t="shared" si="4"/>
        <v>1</v>
      </c>
      <c r="F307">
        <v>1</v>
      </c>
    </row>
    <row r="308" spans="1:6">
      <c r="A308">
        <v>1989</v>
      </c>
      <c r="B308" t="s">
        <v>310</v>
      </c>
      <c r="C308" t="s">
        <v>322</v>
      </c>
      <c r="D308">
        <v>465</v>
      </c>
      <c r="E308">
        <f t="shared" si="4"/>
        <v>1</v>
      </c>
      <c r="F308">
        <v>1</v>
      </c>
    </row>
    <row r="309" spans="1:6">
      <c r="A309">
        <v>1990</v>
      </c>
      <c r="B309" t="s">
        <v>310</v>
      </c>
      <c r="C309" t="s">
        <v>322</v>
      </c>
      <c r="D309">
        <v>465</v>
      </c>
      <c r="E309">
        <f t="shared" si="4"/>
        <v>1</v>
      </c>
      <c r="F309">
        <v>1</v>
      </c>
    </row>
    <row r="310" spans="1:6">
      <c r="A310">
        <v>1983</v>
      </c>
      <c r="B310" t="s">
        <v>310</v>
      </c>
      <c r="C310" t="s">
        <v>314</v>
      </c>
      <c r="D310">
        <v>471</v>
      </c>
      <c r="E310">
        <f t="shared" si="4"/>
        <v>0</v>
      </c>
      <c r="F310">
        <v>1</v>
      </c>
    </row>
    <row r="311" spans="1:6">
      <c r="A311">
        <v>1984</v>
      </c>
      <c r="B311" t="s">
        <v>310</v>
      </c>
      <c r="C311" t="s">
        <v>299</v>
      </c>
      <c r="D311">
        <v>471</v>
      </c>
      <c r="E311">
        <f t="shared" si="4"/>
        <v>0</v>
      </c>
      <c r="F311">
        <v>1</v>
      </c>
    </row>
    <row r="312" spans="1:6">
      <c r="A312">
        <v>1985</v>
      </c>
      <c r="B312" t="s">
        <v>310</v>
      </c>
      <c r="C312" t="s">
        <v>301</v>
      </c>
      <c r="D312">
        <v>471</v>
      </c>
      <c r="E312">
        <f t="shared" si="4"/>
        <v>0</v>
      </c>
      <c r="F312">
        <v>1</v>
      </c>
    </row>
    <row r="313" spans="1:6">
      <c r="A313">
        <v>1986</v>
      </c>
      <c r="B313" t="s">
        <v>310</v>
      </c>
      <c r="C313" t="s">
        <v>301</v>
      </c>
      <c r="D313">
        <v>471</v>
      </c>
      <c r="E313">
        <f t="shared" si="4"/>
        <v>1</v>
      </c>
      <c r="F313">
        <v>1</v>
      </c>
    </row>
    <row r="314" spans="1:6">
      <c r="A314">
        <v>1987</v>
      </c>
      <c r="B314" t="s">
        <v>310</v>
      </c>
      <c r="C314" t="s">
        <v>301</v>
      </c>
      <c r="D314">
        <v>471</v>
      </c>
      <c r="E314">
        <f t="shared" si="4"/>
        <v>1</v>
      </c>
      <c r="F314">
        <v>1</v>
      </c>
    </row>
    <row r="315" spans="1:6">
      <c r="A315">
        <v>1988</v>
      </c>
      <c r="B315" t="s">
        <v>310</v>
      </c>
      <c r="C315" t="s">
        <v>301</v>
      </c>
      <c r="D315">
        <v>471</v>
      </c>
      <c r="E315">
        <f t="shared" si="4"/>
        <v>1</v>
      </c>
      <c r="F315">
        <v>1</v>
      </c>
    </row>
    <row r="316" spans="1:6">
      <c r="A316">
        <v>1989</v>
      </c>
      <c r="B316" t="s">
        <v>310</v>
      </c>
      <c r="C316" t="s">
        <v>314</v>
      </c>
      <c r="D316">
        <v>471</v>
      </c>
      <c r="E316">
        <f t="shared" si="4"/>
        <v>0</v>
      </c>
      <c r="F316">
        <v>1</v>
      </c>
    </row>
    <row r="317" spans="1:6">
      <c r="A317">
        <v>1990</v>
      </c>
      <c r="B317" t="s">
        <v>310</v>
      </c>
      <c r="C317" t="s">
        <v>301</v>
      </c>
      <c r="D317">
        <v>471</v>
      </c>
      <c r="E317">
        <f t="shared" si="4"/>
        <v>0</v>
      </c>
      <c r="F317">
        <v>1</v>
      </c>
    </row>
    <row r="318" spans="1:6">
      <c r="A318">
        <v>1983</v>
      </c>
      <c r="B318" t="s">
        <v>310</v>
      </c>
      <c r="C318" t="s">
        <v>311</v>
      </c>
      <c r="D318">
        <v>478</v>
      </c>
      <c r="E318">
        <f t="shared" si="4"/>
        <v>0</v>
      </c>
      <c r="F318">
        <v>1</v>
      </c>
    </row>
    <row r="319" spans="1:6">
      <c r="A319">
        <v>1984</v>
      </c>
      <c r="B319" t="s">
        <v>310</v>
      </c>
      <c r="C319" t="s">
        <v>311</v>
      </c>
      <c r="D319">
        <v>478</v>
      </c>
      <c r="E319">
        <f t="shared" si="4"/>
        <v>1</v>
      </c>
      <c r="F319">
        <v>1</v>
      </c>
    </row>
    <row r="320" spans="1:6">
      <c r="A320">
        <v>1985</v>
      </c>
      <c r="B320" t="s">
        <v>310</v>
      </c>
      <c r="C320" t="s">
        <v>311</v>
      </c>
      <c r="D320">
        <v>478</v>
      </c>
      <c r="E320">
        <f t="shared" si="4"/>
        <v>1</v>
      </c>
      <c r="F320">
        <v>1</v>
      </c>
    </row>
    <row r="321" spans="1:6">
      <c r="A321">
        <v>1986</v>
      </c>
      <c r="B321" t="s">
        <v>310</v>
      </c>
      <c r="C321" t="s">
        <v>311</v>
      </c>
      <c r="D321">
        <v>478</v>
      </c>
      <c r="E321">
        <f t="shared" si="4"/>
        <v>1</v>
      </c>
      <c r="F321">
        <v>1</v>
      </c>
    </row>
    <row r="322" spans="1:6">
      <c r="A322">
        <v>1987</v>
      </c>
      <c r="B322" t="s">
        <v>310</v>
      </c>
      <c r="C322" t="s">
        <v>311</v>
      </c>
      <c r="D322">
        <v>478</v>
      </c>
      <c r="E322">
        <f t="shared" si="4"/>
        <v>1</v>
      </c>
      <c r="F322">
        <v>1</v>
      </c>
    </row>
    <row r="323" spans="1:6">
      <c r="A323">
        <v>1988</v>
      </c>
      <c r="B323" t="s">
        <v>310</v>
      </c>
      <c r="C323" t="s">
        <v>311</v>
      </c>
      <c r="D323">
        <v>478</v>
      </c>
      <c r="E323">
        <f t="shared" ref="E323:E386" si="5">IF(AND(C323=C322,D323=D322),1,0)</f>
        <v>1</v>
      </c>
      <c r="F323">
        <v>1</v>
      </c>
    </row>
    <row r="324" spans="1:6">
      <c r="A324">
        <v>1989</v>
      </c>
      <c r="B324" t="s">
        <v>310</v>
      </c>
      <c r="C324" t="s">
        <v>299</v>
      </c>
      <c r="D324">
        <v>478</v>
      </c>
      <c r="E324">
        <f t="shared" si="5"/>
        <v>0</v>
      </c>
      <c r="F324">
        <v>1</v>
      </c>
    </row>
    <row r="325" spans="1:6">
      <c r="A325">
        <v>1990</v>
      </c>
      <c r="B325" t="s">
        <v>310</v>
      </c>
      <c r="C325" t="s">
        <v>299</v>
      </c>
      <c r="D325">
        <v>478</v>
      </c>
      <c r="E325">
        <f t="shared" si="5"/>
        <v>1</v>
      </c>
      <c r="F325">
        <v>1</v>
      </c>
    </row>
    <row r="326" spans="1:6">
      <c r="A326">
        <v>1986</v>
      </c>
      <c r="B326" t="s">
        <v>310</v>
      </c>
      <c r="C326" t="s">
        <v>103</v>
      </c>
      <c r="D326">
        <v>481</v>
      </c>
      <c r="E326">
        <f t="shared" si="5"/>
        <v>0</v>
      </c>
      <c r="F326">
        <v>1</v>
      </c>
    </row>
    <row r="327" spans="1:6">
      <c r="A327">
        <v>1987</v>
      </c>
      <c r="B327" t="s">
        <v>310</v>
      </c>
      <c r="C327" t="s">
        <v>103</v>
      </c>
      <c r="D327">
        <v>481</v>
      </c>
      <c r="E327">
        <f t="shared" si="5"/>
        <v>1</v>
      </c>
      <c r="F327">
        <v>1</v>
      </c>
    </row>
    <row r="328" spans="1:6">
      <c r="A328">
        <v>1988</v>
      </c>
      <c r="B328" t="s">
        <v>310</v>
      </c>
      <c r="C328" t="s">
        <v>103</v>
      </c>
      <c r="D328">
        <v>481</v>
      </c>
      <c r="E328">
        <f t="shared" si="5"/>
        <v>1</v>
      </c>
      <c r="F328">
        <v>1</v>
      </c>
    </row>
    <row r="329" spans="1:6">
      <c r="A329">
        <v>1989</v>
      </c>
      <c r="B329" t="s">
        <v>310</v>
      </c>
      <c r="C329" t="s">
        <v>103</v>
      </c>
      <c r="D329">
        <v>481</v>
      </c>
      <c r="E329">
        <f t="shared" si="5"/>
        <v>1</v>
      </c>
      <c r="F329">
        <v>1</v>
      </c>
    </row>
    <row r="330" spans="1:6">
      <c r="A330">
        <v>1990</v>
      </c>
      <c r="B330" t="s">
        <v>310</v>
      </c>
      <c r="C330" t="s">
        <v>103</v>
      </c>
      <c r="D330">
        <v>481</v>
      </c>
      <c r="E330">
        <f t="shared" si="5"/>
        <v>1</v>
      </c>
      <c r="F330">
        <v>1</v>
      </c>
    </row>
    <row r="331" spans="1:6">
      <c r="A331">
        <v>1991</v>
      </c>
      <c r="B331" t="s">
        <v>310</v>
      </c>
      <c r="C331" t="s">
        <v>299</v>
      </c>
      <c r="D331">
        <v>481</v>
      </c>
      <c r="E331">
        <f t="shared" si="5"/>
        <v>0</v>
      </c>
      <c r="F331">
        <v>1</v>
      </c>
    </row>
    <row r="332" spans="1:6">
      <c r="A332">
        <v>1985</v>
      </c>
      <c r="B332" t="s">
        <v>310</v>
      </c>
      <c r="C332" t="s">
        <v>299</v>
      </c>
      <c r="D332">
        <v>495</v>
      </c>
      <c r="E332">
        <f t="shared" si="5"/>
        <v>0</v>
      </c>
      <c r="F332">
        <v>1</v>
      </c>
    </row>
    <row r="333" spans="1:6">
      <c r="A333">
        <v>1986</v>
      </c>
      <c r="B333" t="s">
        <v>310</v>
      </c>
      <c r="C333" t="s">
        <v>324</v>
      </c>
      <c r="D333">
        <v>495</v>
      </c>
      <c r="E333">
        <f t="shared" si="5"/>
        <v>0</v>
      </c>
      <c r="F333">
        <v>1</v>
      </c>
    </row>
    <row r="334" spans="1:6">
      <c r="A334">
        <v>1987</v>
      </c>
      <c r="B334" t="s">
        <v>310</v>
      </c>
      <c r="C334" t="s">
        <v>299</v>
      </c>
      <c r="D334">
        <v>495</v>
      </c>
      <c r="E334">
        <f t="shared" si="5"/>
        <v>0</v>
      </c>
      <c r="F334">
        <v>1</v>
      </c>
    </row>
    <row r="335" spans="1:6">
      <c r="A335">
        <v>1988</v>
      </c>
      <c r="B335" t="s">
        <v>310</v>
      </c>
      <c r="C335" t="s">
        <v>299</v>
      </c>
      <c r="D335">
        <v>495</v>
      </c>
      <c r="E335">
        <f t="shared" si="5"/>
        <v>1</v>
      </c>
      <c r="F335">
        <v>1</v>
      </c>
    </row>
    <row r="336" spans="1:6">
      <c r="A336">
        <v>1989</v>
      </c>
      <c r="B336" t="s">
        <v>310</v>
      </c>
      <c r="C336" t="s">
        <v>299</v>
      </c>
      <c r="D336">
        <v>495</v>
      </c>
      <c r="E336">
        <f t="shared" si="5"/>
        <v>1</v>
      </c>
      <c r="F336">
        <v>1</v>
      </c>
    </row>
    <row r="337" spans="1:6">
      <c r="A337">
        <v>1990</v>
      </c>
      <c r="B337" t="s">
        <v>310</v>
      </c>
      <c r="C337" t="s">
        <v>299</v>
      </c>
      <c r="D337">
        <v>495</v>
      </c>
      <c r="E337">
        <f t="shared" si="5"/>
        <v>1</v>
      </c>
      <c r="F337">
        <v>1</v>
      </c>
    </row>
    <row r="338" spans="1:6">
      <c r="A338">
        <v>1983</v>
      </c>
      <c r="B338" t="s">
        <v>310</v>
      </c>
      <c r="C338" t="s">
        <v>312</v>
      </c>
      <c r="D338">
        <v>505</v>
      </c>
      <c r="E338">
        <f t="shared" si="5"/>
        <v>0</v>
      </c>
      <c r="F338">
        <v>1</v>
      </c>
    </row>
    <row r="339" spans="1:6">
      <c r="A339">
        <v>1984</v>
      </c>
      <c r="B339" t="s">
        <v>310</v>
      </c>
      <c r="C339" t="s">
        <v>312</v>
      </c>
      <c r="D339">
        <v>505</v>
      </c>
      <c r="E339">
        <f t="shared" si="5"/>
        <v>1</v>
      </c>
      <c r="F339">
        <v>1</v>
      </c>
    </row>
    <row r="340" spans="1:6">
      <c r="A340">
        <v>1985</v>
      </c>
      <c r="B340" t="s">
        <v>310</v>
      </c>
      <c r="C340" t="s">
        <v>312</v>
      </c>
      <c r="D340">
        <v>505</v>
      </c>
      <c r="E340">
        <f t="shared" si="5"/>
        <v>1</v>
      </c>
      <c r="F340">
        <v>1</v>
      </c>
    </row>
    <row r="341" spans="1:6">
      <c r="A341">
        <v>1986</v>
      </c>
      <c r="B341" t="s">
        <v>310</v>
      </c>
      <c r="C341" t="s">
        <v>312</v>
      </c>
      <c r="D341">
        <v>505</v>
      </c>
      <c r="E341">
        <f t="shared" si="5"/>
        <v>1</v>
      </c>
      <c r="F341">
        <v>1</v>
      </c>
    </row>
    <row r="342" spans="1:6">
      <c r="A342">
        <v>1987</v>
      </c>
      <c r="B342" t="s">
        <v>310</v>
      </c>
      <c r="C342" t="s">
        <v>299</v>
      </c>
      <c r="D342">
        <v>505</v>
      </c>
      <c r="E342">
        <f t="shared" si="5"/>
        <v>0</v>
      </c>
      <c r="F342">
        <v>1</v>
      </c>
    </row>
    <row r="343" spans="1:6">
      <c r="A343">
        <v>1988</v>
      </c>
      <c r="B343" t="s">
        <v>310</v>
      </c>
      <c r="C343" t="s">
        <v>312</v>
      </c>
      <c r="D343">
        <v>505</v>
      </c>
      <c r="E343">
        <f t="shared" si="5"/>
        <v>0</v>
      </c>
      <c r="F343">
        <v>1</v>
      </c>
    </row>
    <row r="344" spans="1:6">
      <c r="A344">
        <v>1989</v>
      </c>
      <c r="B344" t="s">
        <v>310</v>
      </c>
      <c r="C344" t="s">
        <v>299</v>
      </c>
      <c r="D344">
        <v>505</v>
      </c>
      <c r="E344">
        <f t="shared" si="5"/>
        <v>0</v>
      </c>
      <c r="F344">
        <v>1</v>
      </c>
    </row>
    <row r="345" spans="1:6">
      <c r="A345">
        <v>1990</v>
      </c>
      <c r="B345" t="s">
        <v>310</v>
      </c>
      <c r="C345" t="s">
        <v>299</v>
      </c>
      <c r="D345">
        <v>505</v>
      </c>
      <c r="E345">
        <f t="shared" si="5"/>
        <v>1</v>
      </c>
      <c r="F345">
        <v>1</v>
      </c>
    </row>
    <row r="346" spans="1:6">
      <c r="A346">
        <v>1983</v>
      </c>
      <c r="B346" t="s">
        <v>310</v>
      </c>
      <c r="C346" t="s">
        <v>314</v>
      </c>
      <c r="D346">
        <v>525</v>
      </c>
      <c r="E346">
        <f t="shared" si="5"/>
        <v>0</v>
      </c>
      <c r="F346">
        <v>1</v>
      </c>
    </row>
    <row r="347" spans="1:6">
      <c r="A347">
        <v>1984</v>
      </c>
      <c r="B347" t="s">
        <v>310</v>
      </c>
      <c r="C347" t="s">
        <v>321</v>
      </c>
      <c r="D347">
        <v>525</v>
      </c>
      <c r="E347">
        <f t="shared" si="5"/>
        <v>0</v>
      </c>
      <c r="F347">
        <v>1</v>
      </c>
    </row>
    <row r="348" spans="1:6">
      <c r="A348">
        <v>1985</v>
      </c>
      <c r="B348" t="s">
        <v>310</v>
      </c>
      <c r="C348" t="s">
        <v>55</v>
      </c>
      <c r="D348">
        <v>525</v>
      </c>
      <c r="E348">
        <f t="shared" si="5"/>
        <v>0</v>
      </c>
      <c r="F348">
        <v>1</v>
      </c>
    </row>
    <row r="349" spans="1:6">
      <c r="A349">
        <v>1986</v>
      </c>
      <c r="B349" t="s">
        <v>310</v>
      </c>
      <c r="C349" t="s">
        <v>321</v>
      </c>
      <c r="D349">
        <v>525</v>
      </c>
      <c r="E349">
        <f t="shared" si="5"/>
        <v>0</v>
      </c>
      <c r="F349">
        <v>1</v>
      </c>
    </row>
    <row r="350" spans="1:6">
      <c r="A350">
        <v>1987</v>
      </c>
      <c r="B350" t="s">
        <v>310</v>
      </c>
      <c r="C350" t="s">
        <v>321</v>
      </c>
      <c r="D350">
        <v>525</v>
      </c>
      <c r="E350">
        <f t="shared" si="5"/>
        <v>1</v>
      </c>
      <c r="F350">
        <v>1</v>
      </c>
    </row>
    <row r="351" spans="1:6">
      <c r="A351">
        <v>1988</v>
      </c>
      <c r="B351" t="s">
        <v>310</v>
      </c>
      <c r="C351" t="s">
        <v>321</v>
      </c>
      <c r="D351">
        <v>525</v>
      </c>
      <c r="E351">
        <f t="shared" si="5"/>
        <v>1</v>
      </c>
      <c r="F351">
        <v>1</v>
      </c>
    </row>
    <row r="352" spans="1:6">
      <c r="A352">
        <v>1989</v>
      </c>
      <c r="B352" t="s">
        <v>310</v>
      </c>
      <c r="C352" t="s">
        <v>314</v>
      </c>
      <c r="D352">
        <v>525</v>
      </c>
      <c r="E352">
        <f t="shared" si="5"/>
        <v>0</v>
      </c>
      <c r="F352">
        <v>1</v>
      </c>
    </row>
    <row r="353" spans="1:6">
      <c r="A353">
        <v>1990</v>
      </c>
      <c r="B353" t="s">
        <v>310</v>
      </c>
      <c r="C353" t="s">
        <v>299</v>
      </c>
      <c r="D353">
        <v>525</v>
      </c>
      <c r="E353">
        <f t="shared" si="5"/>
        <v>0</v>
      </c>
      <c r="F353">
        <v>1</v>
      </c>
    </row>
    <row r="354" spans="1:6">
      <c r="A354">
        <v>1984</v>
      </c>
      <c r="B354" t="s">
        <v>298</v>
      </c>
      <c r="C354" t="s">
        <v>299</v>
      </c>
      <c r="D354">
        <v>533</v>
      </c>
      <c r="E354">
        <f t="shared" si="5"/>
        <v>0</v>
      </c>
      <c r="F354">
        <v>1</v>
      </c>
    </row>
    <row r="355" spans="1:6">
      <c r="A355">
        <v>1985</v>
      </c>
      <c r="B355" t="s">
        <v>298</v>
      </c>
      <c r="C355" t="s">
        <v>299</v>
      </c>
      <c r="D355">
        <v>533</v>
      </c>
      <c r="E355">
        <f t="shared" si="5"/>
        <v>1</v>
      </c>
      <c r="F355">
        <v>1</v>
      </c>
    </row>
    <row r="356" spans="1:6">
      <c r="A356">
        <v>1986</v>
      </c>
      <c r="B356" t="s">
        <v>298</v>
      </c>
      <c r="C356" t="s">
        <v>299</v>
      </c>
      <c r="D356">
        <v>533</v>
      </c>
      <c r="E356">
        <f t="shared" si="5"/>
        <v>1</v>
      </c>
      <c r="F356">
        <v>1</v>
      </c>
    </row>
    <row r="357" spans="1:6">
      <c r="A357">
        <v>1987</v>
      </c>
      <c r="B357" t="s">
        <v>298</v>
      </c>
      <c r="C357" t="s">
        <v>299</v>
      </c>
      <c r="D357">
        <v>533</v>
      </c>
      <c r="E357">
        <f t="shared" si="5"/>
        <v>1</v>
      </c>
      <c r="F357">
        <v>1</v>
      </c>
    </row>
    <row r="358" spans="1:6">
      <c r="A358">
        <v>1988</v>
      </c>
      <c r="B358" t="s">
        <v>298</v>
      </c>
      <c r="C358" t="s">
        <v>299</v>
      </c>
      <c r="D358">
        <v>533</v>
      </c>
      <c r="E358">
        <f t="shared" si="5"/>
        <v>1</v>
      </c>
      <c r="F358">
        <v>1</v>
      </c>
    </row>
    <row r="359" spans="1:6">
      <c r="A359">
        <v>1989</v>
      </c>
      <c r="B359" t="s">
        <v>298</v>
      </c>
      <c r="C359" t="s">
        <v>299</v>
      </c>
      <c r="D359">
        <v>533</v>
      </c>
      <c r="E359">
        <f t="shared" si="5"/>
        <v>1</v>
      </c>
      <c r="F359">
        <v>1</v>
      </c>
    </row>
    <row r="360" spans="1:6">
      <c r="A360">
        <v>1990</v>
      </c>
      <c r="B360" t="s">
        <v>298</v>
      </c>
      <c r="C360" t="s">
        <v>299</v>
      </c>
      <c r="D360">
        <v>533</v>
      </c>
      <c r="E360">
        <f t="shared" si="5"/>
        <v>1</v>
      </c>
      <c r="F360">
        <v>1</v>
      </c>
    </row>
    <row r="361" spans="1:6">
      <c r="A361">
        <v>1991</v>
      </c>
      <c r="B361" t="s">
        <v>298</v>
      </c>
      <c r="C361" t="s">
        <v>299</v>
      </c>
      <c r="D361">
        <v>533</v>
      </c>
      <c r="E361">
        <f t="shared" si="5"/>
        <v>1</v>
      </c>
      <c r="F361">
        <v>1</v>
      </c>
    </row>
    <row r="362" spans="1:6">
      <c r="A362">
        <v>1990</v>
      </c>
      <c r="B362" t="s">
        <v>310</v>
      </c>
      <c r="C362" t="s">
        <v>301</v>
      </c>
      <c r="D362">
        <v>537</v>
      </c>
      <c r="E362">
        <f t="shared" si="5"/>
        <v>0</v>
      </c>
      <c r="F362">
        <v>1</v>
      </c>
    </row>
    <row r="363" spans="1:6">
      <c r="A363">
        <v>1983</v>
      </c>
      <c r="B363" t="s">
        <v>310</v>
      </c>
      <c r="C363" t="s">
        <v>43</v>
      </c>
      <c r="D363">
        <v>561</v>
      </c>
      <c r="E363">
        <f t="shared" si="5"/>
        <v>0</v>
      </c>
      <c r="F363">
        <v>1</v>
      </c>
    </row>
    <row r="364" spans="1:6">
      <c r="A364">
        <v>1984</v>
      </c>
      <c r="B364" t="s">
        <v>310</v>
      </c>
      <c r="C364" t="s">
        <v>43</v>
      </c>
      <c r="D364">
        <v>561</v>
      </c>
      <c r="E364">
        <f t="shared" si="5"/>
        <v>1</v>
      </c>
      <c r="F364">
        <v>1</v>
      </c>
    </row>
    <row r="365" spans="1:6">
      <c r="A365">
        <v>1985</v>
      </c>
      <c r="B365" t="s">
        <v>310</v>
      </c>
      <c r="C365" t="s">
        <v>43</v>
      </c>
      <c r="D365">
        <v>561</v>
      </c>
      <c r="E365">
        <f t="shared" si="5"/>
        <v>1</v>
      </c>
      <c r="F365">
        <v>1</v>
      </c>
    </row>
    <row r="366" spans="1:6">
      <c r="A366">
        <v>1986</v>
      </c>
      <c r="B366" t="s">
        <v>310</v>
      </c>
      <c r="C366" t="s">
        <v>43</v>
      </c>
      <c r="D366">
        <v>561</v>
      </c>
      <c r="E366">
        <f t="shared" si="5"/>
        <v>1</v>
      </c>
      <c r="F366">
        <v>1</v>
      </c>
    </row>
    <row r="367" spans="1:6">
      <c r="A367">
        <v>1987</v>
      </c>
      <c r="B367" t="s">
        <v>310</v>
      </c>
      <c r="C367" t="s">
        <v>43</v>
      </c>
      <c r="D367">
        <v>561</v>
      </c>
      <c r="E367">
        <f t="shared" si="5"/>
        <v>1</v>
      </c>
      <c r="F367">
        <v>1</v>
      </c>
    </row>
    <row r="368" spans="1:6">
      <c r="A368">
        <v>1988</v>
      </c>
      <c r="B368" t="s">
        <v>310</v>
      </c>
      <c r="C368" t="s">
        <v>43</v>
      </c>
      <c r="D368">
        <v>561</v>
      </c>
      <c r="E368">
        <f t="shared" si="5"/>
        <v>1</v>
      </c>
      <c r="F368">
        <v>1</v>
      </c>
    </row>
    <row r="369" spans="1:6">
      <c r="A369">
        <v>1989</v>
      </c>
      <c r="B369" t="s">
        <v>310</v>
      </c>
      <c r="C369" t="s">
        <v>43</v>
      </c>
      <c r="D369">
        <v>561</v>
      </c>
      <c r="E369">
        <f t="shared" si="5"/>
        <v>1</v>
      </c>
      <c r="F369">
        <v>1</v>
      </c>
    </row>
    <row r="370" spans="1:6">
      <c r="A370">
        <v>1990</v>
      </c>
      <c r="B370" t="s">
        <v>310</v>
      </c>
      <c r="C370" t="s">
        <v>43</v>
      </c>
      <c r="D370">
        <v>561</v>
      </c>
      <c r="E370">
        <f t="shared" si="5"/>
        <v>1</v>
      </c>
      <c r="F370">
        <v>1</v>
      </c>
    </row>
    <row r="371" spans="1:6">
      <c r="A371">
        <v>1984</v>
      </c>
      <c r="B371" t="s">
        <v>298</v>
      </c>
      <c r="C371" t="s">
        <v>301</v>
      </c>
      <c r="D371">
        <v>567</v>
      </c>
      <c r="E371">
        <f t="shared" si="5"/>
        <v>0</v>
      </c>
      <c r="F371">
        <v>1</v>
      </c>
    </row>
    <row r="372" spans="1:6">
      <c r="A372">
        <v>1985</v>
      </c>
      <c r="B372" t="s">
        <v>298</v>
      </c>
      <c r="C372" t="s">
        <v>301</v>
      </c>
      <c r="D372">
        <v>567</v>
      </c>
      <c r="E372">
        <f t="shared" si="5"/>
        <v>1</v>
      </c>
      <c r="F372">
        <v>1</v>
      </c>
    </row>
    <row r="373" spans="1:6">
      <c r="A373">
        <v>1986</v>
      </c>
      <c r="B373" t="s">
        <v>298</v>
      </c>
      <c r="C373" t="s">
        <v>301</v>
      </c>
      <c r="D373">
        <v>567</v>
      </c>
      <c r="E373">
        <f t="shared" si="5"/>
        <v>1</v>
      </c>
      <c r="F373">
        <v>1</v>
      </c>
    </row>
    <row r="374" spans="1:6">
      <c r="A374">
        <v>1987</v>
      </c>
      <c r="B374" t="s">
        <v>298</v>
      </c>
      <c r="C374" t="s">
        <v>301</v>
      </c>
      <c r="D374">
        <v>567</v>
      </c>
      <c r="E374">
        <f t="shared" si="5"/>
        <v>1</v>
      </c>
      <c r="F374">
        <v>1</v>
      </c>
    </row>
    <row r="375" spans="1:6">
      <c r="A375">
        <v>1988</v>
      </c>
      <c r="B375" t="s">
        <v>298</v>
      </c>
      <c r="C375" t="s">
        <v>301</v>
      </c>
      <c r="D375">
        <v>567</v>
      </c>
      <c r="E375">
        <f t="shared" si="5"/>
        <v>1</v>
      </c>
      <c r="F375">
        <v>1</v>
      </c>
    </row>
    <row r="376" spans="1:6">
      <c r="A376">
        <v>1989</v>
      </c>
      <c r="B376" t="s">
        <v>298</v>
      </c>
      <c r="C376" t="s">
        <v>301</v>
      </c>
      <c r="D376">
        <v>567</v>
      </c>
      <c r="E376">
        <f t="shared" si="5"/>
        <v>1</v>
      </c>
      <c r="F376">
        <v>1</v>
      </c>
    </row>
    <row r="377" spans="1:6">
      <c r="A377">
        <v>1990</v>
      </c>
      <c r="B377" t="s">
        <v>298</v>
      </c>
      <c r="C377" t="s">
        <v>301</v>
      </c>
      <c r="D377">
        <v>567</v>
      </c>
      <c r="E377">
        <f t="shared" si="5"/>
        <v>1</v>
      </c>
      <c r="F377">
        <v>1</v>
      </c>
    </row>
    <row r="378" spans="1:6">
      <c r="A378">
        <v>1991</v>
      </c>
      <c r="B378" t="s">
        <v>298</v>
      </c>
      <c r="C378" t="s">
        <v>301</v>
      </c>
      <c r="D378">
        <v>567</v>
      </c>
      <c r="E378">
        <f t="shared" si="5"/>
        <v>1</v>
      </c>
      <c r="F378">
        <v>1</v>
      </c>
    </row>
    <row r="379" spans="1:6">
      <c r="A379">
        <v>1983</v>
      </c>
      <c r="B379" t="s">
        <v>310</v>
      </c>
      <c r="C379" t="s">
        <v>311</v>
      </c>
      <c r="D379">
        <v>593</v>
      </c>
      <c r="E379">
        <f t="shared" si="5"/>
        <v>0</v>
      </c>
      <c r="F379">
        <v>1</v>
      </c>
    </row>
    <row r="380" spans="1:6">
      <c r="A380">
        <v>1984</v>
      </c>
      <c r="B380" t="s">
        <v>310</v>
      </c>
      <c r="C380" t="s">
        <v>311</v>
      </c>
      <c r="D380">
        <v>593</v>
      </c>
      <c r="E380">
        <f t="shared" si="5"/>
        <v>1</v>
      </c>
      <c r="F380">
        <v>1</v>
      </c>
    </row>
    <row r="381" spans="1:6">
      <c r="A381">
        <v>1985</v>
      </c>
      <c r="B381" t="s">
        <v>310</v>
      </c>
      <c r="C381" t="s">
        <v>311</v>
      </c>
      <c r="D381">
        <v>593</v>
      </c>
      <c r="E381">
        <f t="shared" si="5"/>
        <v>1</v>
      </c>
      <c r="F381">
        <v>1</v>
      </c>
    </row>
    <row r="382" spans="1:6">
      <c r="A382">
        <v>1986</v>
      </c>
      <c r="B382" t="s">
        <v>310</v>
      </c>
      <c r="C382" t="s">
        <v>311</v>
      </c>
      <c r="D382">
        <v>593</v>
      </c>
      <c r="E382">
        <f t="shared" si="5"/>
        <v>1</v>
      </c>
      <c r="F382">
        <v>1</v>
      </c>
    </row>
    <row r="383" spans="1:6">
      <c r="A383">
        <v>1987</v>
      </c>
      <c r="B383" t="s">
        <v>310</v>
      </c>
      <c r="C383" t="s">
        <v>311</v>
      </c>
      <c r="D383">
        <v>593</v>
      </c>
      <c r="E383">
        <f t="shared" si="5"/>
        <v>1</v>
      </c>
      <c r="F383">
        <v>1</v>
      </c>
    </row>
    <row r="384" spans="1:6">
      <c r="A384">
        <v>1988</v>
      </c>
      <c r="B384" t="s">
        <v>310</v>
      </c>
      <c r="C384" t="s">
        <v>311</v>
      </c>
      <c r="D384">
        <v>593</v>
      </c>
      <c r="E384">
        <f t="shared" si="5"/>
        <v>1</v>
      </c>
      <c r="F384">
        <v>1</v>
      </c>
    </row>
    <row r="385" spans="1:6">
      <c r="A385">
        <v>1989</v>
      </c>
      <c r="B385" t="s">
        <v>310</v>
      </c>
      <c r="C385" t="s">
        <v>311</v>
      </c>
      <c r="D385">
        <v>593</v>
      </c>
      <c r="E385">
        <f t="shared" si="5"/>
        <v>1</v>
      </c>
      <c r="F385">
        <v>1</v>
      </c>
    </row>
    <row r="386" spans="1:6">
      <c r="A386">
        <v>1990</v>
      </c>
      <c r="B386" t="s">
        <v>310</v>
      </c>
      <c r="C386" t="s">
        <v>301</v>
      </c>
      <c r="D386">
        <v>593</v>
      </c>
      <c r="E386">
        <f t="shared" si="5"/>
        <v>0</v>
      </c>
      <c r="F386">
        <v>1</v>
      </c>
    </row>
    <row r="387" spans="1:6">
      <c r="A387">
        <v>1984</v>
      </c>
      <c r="B387" t="s">
        <v>310</v>
      </c>
      <c r="C387" t="s">
        <v>55</v>
      </c>
      <c r="D387">
        <v>601</v>
      </c>
      <c r="E387">
        <f t="shared" ref="E387:E393" si="6">IF(AND(C387=C386,D387=D386),1,0)</f>
        <v>0</v>
      </c>
      <c r="F387">
        <v>1</v>
      </c>
    </row>
    <row r="388" spans="1:6">
      <c r="A388">
        <v>1985</v>
      </c>
      <c r="B388" t="s">
        <v>310</v>
      </c>
      <c r="C388" t="s">
        <v>311</v>
      </c>
      <c r="D388">
        <v>601</v>
      </c>
      <c r="E388">
        <f t="shared" si="6"/>
        <v>0</v>
      </c>
      <c r="F388">
        <v>1</v>
      </c>
    </row>
    <row r="389" spans="1:6">
      <c r="A389">
        <v>1986</v>
      </c>
      <c r="B389" t="s">
        <v>310</v>
      </c>
      <c r="C389" t="s">
        <v>55</v>
      </c>
      <c r="D389">
        <v>601</v>
      </c>
      <c r="E389">
        <f t="shared" si="6"/>
        <v>0</v>
      </c>
      <c r="F389">
        <v>1</v>
      </c>
    </row>
    <row r="390" spans="1:6">
      <c r="A390">
        <v>1987</v>
      </c>
      <c r="B390" t="s">
        <v>310</v>
      </c>
      <c r="C390" t="s">
        <v>311</v>
      </c>
      <c r="D390">
        <v>601</v>
      </c>
      <c r="E390">
        <f t="shared" si="6"/>
        <v>0</v>
      </c>
      <c r="F390">
        <v>1</v>
      </c>
    </row>
    <row r="391" spans="1:6">
      <c r="A391">
        <v>1988</v>
      </c>
      <c r="B391" t="s">
        <v>310</v>
      </c>
      <c r="C391" t="s">
        <v>55</v>
      </c>
      <c r="D391">
        <v>601</v>
      </c>
      <c r="E391">
        <f t="shared" si="6"/>
        <v>0</v>
      </c>
      <c r="F391">
        <v>1</v>
      </c>
    </row>
    <row r="392" spans="1:6">
      <c r="A392">
        <v>1989</v>
      </c>
      <c r="B392" t="s">
        <v>310</v>
      </c>
      <c r="C392" t="s">
        <v>55</v>
      </c>
      <c r="D392">
        <v>601</v>
      </c>
      <c r="E392">
        <f t="shared" si="6"/>
        <v>1</v>
      </c>
      <c r="F392">
        <v>1</v>
      </c>
    </row>
    <row r="393" spans="1:6">
      <c r="A393">
        <v>1990</v>
      </c>
      <c r="B393" t="s">
        <v>310</v>
      </c>
      <c r="C393" t="s">
        <v>314</v>
      </c>
      <c r="D393">
        <v>601</v>
      </c>
      <c r="E393">
        <f t="shared" si="6"/>
        <v>0</v>
      </c>
      <c r="F393">
        <v>1</v>
      </c>
    </row>
  </sheetData>
  <sortState xmlns:xlrd2="http://schemas.microsoft.com/office/spreadsheetml/2017/richdata2" ref="A2:E393">
    <sortCondition ref="D2:D393"/>
    <sortCondition ref="A2:A393"/>
    <sortCondition ref="C2:C393"/>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93"/>
  <sheetViews>
    <sheetView zoomScale="55" zoomScaleNormal="55" workbookViewId="0">
      <selection activeCell="T15" sqref="T15"/>
    </sheetView>
  </sheetViews>
  <sheetFormatPr defaultColWidth="8.85546875" defaultRowHeight="12.75"/>
  <cols>
    <col min="1" max="2" width="13.28515625" customWidth="1"/>
    <col min="3" max="3" width="19.28515625" customWidth="1"/>
    <col min="4" max="4" width="13.28515625" customWidth="1"/>
    <col min="5" max="5" width="17.7109375" customWidth="1"/>
    <col min="6" max="6" width="14.85546875" customWidth="1"/>
    <col min="8" max="8" width="14.28515625" customWidth="1"/>
    <col min="9" max="9" width="19.7109375" customWidth="1"/>
  </cols>
  <sheetData>
    <row r="1" spans="1:20">
      <c r="A1" t="s">
        <v>326</v>
      </c>
      <c r="B1" t="s">
        <v>327</v>
      </c>
      <c r="C1" t="s">
        <v>328</v>
      </c>
      <c r="D1" t="s">
        <v>329</v>
      </c>
      <c r="E1" t="s">
        <v>337</v>
      </c>
      <c r="F1" t="s">
        <v>338</v>
      </c>
    </row>
    <row r="2" spans="1:20">
      <c r="A2">
        <v>1985</v>
      </c>
      <c r="B2" t="s">
        <v>310</v>
      </c>
      <c r="C2" t="s">
        <v>55</v>
      </c>
      <c r="D2">
        <v>11</v>
      </c>
      <c r="E2">
        <f>IF(AND(C3=C2,D3=D2,A3=A2+1),1,0)</f>
        <v>0</v>
      </c>
      <c r="F2">
        <v>1</v>
      </c>
    </row>
    <row r="3" spans="1:20">
      <c r="A3">
        <v>1986</v>
      </c>
      <c r="B3" t="s">
        <v>310</v>
      </c>
      <c r="C3" t="s">
        <v>311</v>
      </c>
      <c r="D3">
        <v>11</v>
      </c>
      <c r="E3">
        <f>IF(AND(C3=C2,D3=D2,A3=A2+1),1,0)</f>
        <v>0</v>
      </c>
      <c r="F3">
        <v>1</v>
      </c>
      <c r="H3" s="1" t="s">
        <v>332</v>
      </c>
    </row>
    <row r="4" spans="1:20">
      <c r="A4">
        <v>1987</v>
      </c>
      <c r="B4" t="s">
        <v>310</v>
      </c>
      <c r="C4" t="s">
        <v>311</v>
      </c>
      <c r="D4">
        <v>11</v>
      </c>
      <c r="E4">
        <f t="shared" ref="E4:E67" si="0">IF(AND(C4=C3,D4=D3,A4=A3+1),1,0)</f>
        <v>1</v>
      </c>
      <c r="F4">
        <v>1</v>
      </c>
      <c r="J4">
        <v>1983</v>
      </c>
      <c r="K4">
        <v>1984</v>
      </c>
      <c r="L4">
        <v>1985</v>
      </c>
      <c r="M4">
        <v>1986</v>
      </c>
      <c r="N4">
        <v>1987</v>
      </c>
      <c r="O4">
        <v>1988</v>
      </c>
      <c r="P4">
        <v>1989</v>
      </c>
      <c r="Q4">
        <v>1990</v>
      </c>
      <c r="R4">
        <v>1991</v>
      </c>
    </row>
    <row r="5" spans="1:20">
      <c r="A5">
        <v>1988</v>
      </c>
      <c r="B5" t="s">
        <v>310</v>
      </c>
      <c r="C5" t="s">
        <v>311</v>
      </c>
      <c r="D5">
        <v>11</v>
      </c>
      <c r="E5">
        <f t="shared" si="0"/>
        <v>1</v>
      </c>
      <c r="F5">
        <v>1</v>
      </c>
      <c r="I5" t="s">
        <v>337</v>
      </c>
      <c r="J5">
        <f>SUMIFS($E$2:$E$393,$A$2:$A$393,J4,$B$2:$B$393,$H$6)</f>
        <v>0</v>
      </c>
      <c r="K5">
        <f t="shared" ref="K5:R5" si="1">SUMIFS($E$2:$E$393,$A$2:$A$393,K4,$B$2:$B$393,$H$6)</f>
        <v>8</v>
      </c>
      <c r="L5">
        <f t="shared" si="1"/>
        <v>12</v>
      </c>
      <c r="M5">
        <f t="shared" si="1"/>
        <v>13</v>
      </c>
      <c r="N5">
        <f t="shared" si="1"/>
        <v>12</v>
      </c>
      <c r="O5">
        <f t="shared" si="1"/>
        <v>13</v>
      </c>
      <c r="P5">
        <f t="shared" si="1"/>
        <v>9</v>
      </c>
      <c r="Q5">
        <f t="shared" si="1"/>
        <v>10</v>
      </c>
      <c r="R5">
        <f t="shared" si="1"/>
        <v>12</v>
      </c>
    </row>
    <row r="6" spans="1:20">
      <c r="A6">
        <v>1989</v>
      </c>
      <c r="B6" t="s">
        <v>310</v>
      </c>
      <c r="C6" t="s">
        <v>317</v>
      </c>
      <c r="D6">
        <v>11</v>
      </c>
      <c r="E6">
        <f t="shared" si="0"/>
        <v>0</v>
      </c>
      <c r="F6">
        <v>1</v>
      </c>
      <c r="H6" t="s">
        <v>298</v>
      </c>
      <c r="I6" t="s">
        <v>334</v>
      </c>
      <c r="J6">
        <f>SUMIFS($F$2:$F$393,$A$2:$A$393,J4,$B$2:$B$393,$H$6)</f>
        <v>11</v>
      </c>
      <c r="K6">
        <f t="shared" ref="K6:R6" si="2">SUMIFS($F$2:$F$393,$A$2:$A$393,K4,$B$2:$B$393,$H$6)</f>
        <v>12</v>
      </c>
      <c r="L6">
        <f>SUMIFS($F$2:$F$393,$A$2:$A$393,L4,$B$2:$B$393,$H$6)</f>
        <v>13</v>
      </c>
      <c r="M6">
        <f>SUMIFS($F$2:$F$393,$A$2:$A$393,M4,$B$2:$B$393,$H$6)</f>
        <v>13</v>
      </c>
      <c r="N6">
        <f t="shared" si="2"/>
        <v>13</v>
      </c>
      <c r="O6">
        <f t="shared" si="2"/>
        <v>13</v>
      </c>
      <c r="P6">
        <f t="shared" si="2"/>
        <v>13</v>
      </c>
      <c r="Q6">
        <f t="shared" si="2"/>
        <v>14</v>
      </c>
      <c r="R6">
        <f t="shared" si="2"/>
        <v>13</v>
      </c>
    </row>
    <row r="7" spans="1:20">
      <c r="A7">
        <v>1990</v>
      </c>
      <c r="B7" t="s">
        <v>310</v>
      </c>
      <c r="C7" t="s">
        <v>55</v>
      </c>
      <c r="D7">
        <v>11</v>
      </c>
      <c r="E7">
        <f t="shared" si="0"/>
        <v>0</v>
      </c>
      <c r="F7">
        <v>1</v>
      </c>
      <c r="I7" t="s">
        <v>335</v>
      </c>
      <c r="J7" s="4">
        <f>J5/J6</f>
        <v>0</v>
      </c>
      <c r="K7" s="4">
        <f t="shared" ref="K7:R7" si="3">K5/K6</f>
        <v>0.66666666666666696</v>
      </c>
      <c r="L7" s="4">
        <f t="shared" si="3"/>
        <v>0.92307692307692302</v>
      </c>
      <c r="M7" s="4">
        <f t="shared" si="3"/>
        <v>1</v>
      </c>
      <c r="N7" s="4">
        <f t="shared" si="3"/>
        <v>0.92307692307692302</v>
      </c>
      <c r="O7" s="4">
        <f t="shared" si="3"/>
        <v>1</v>
      </c>
      <c r="P7" s="4">
        <f t="shared" si="3"/>
        <v>0.69230769230769196</v>
      </c>
      <c r="Q7" s="4">
        <f t="shared" si="3"/>
        <v>0.71428571428571397</v>
      </c>
      <c r="R7" s="4">
        <f t="shared" si="3"/>
        <v>0.92307692307692302</v>
      </c>
    </row>
    <row r="8" spans="1:20">
      <c r="A8">
        <v>1983</v>
      </c>
      <c r="B8" t="s">
        <v>310</v>
      </c>
      <c r="C8" t="s">
        <v>312</v>
      </c>
      <c r="D8">
        <v>13</v>
      </c>
      <c r="E8">
        <f t="shared" si="0"/>
        <v>0</v>
      </c>
      <c r="F8">
        <v>1</v>
      </c>
      <c r="H8" s="1" t="s">
        <v>339</v>
      </c>
      <c r="K8" s="5"/>
    </row>
    <row r="9" spans="1:20">
      <c r="A9">
        <v>1984</v>
      </c>
      <c r="B9" t="s">
        <v>310</v>
      </c>
      <c r="C9" t="s">
        <v>312</v>
      </c>
      <c r="D9">
        <v>13</v>
      </c>
      <c r="E9">
        <f t="shared" si="0"/>
        <v>1</v>
      </c>
      <c r="F9">
        <v>1</v>
      </c>
      <c r="H9" t="s">
        <v>310</v>
      </c>
      <c r="I9" t="s">
        <v>337</v>
      </c>
      <c r="J9">
        <f>SUMIFS($E$2:$E$393,$A$2:$A$393,J4,$B$2:$B$393,$H$9)</f>
        <v>0</v>
      </c>
      <c r="K9">
        <f t="shared" ref="K9:R9" si="4">SUMIFS($E$2:$E$393,$A$2:$A$393,K4,$B$2:$B$393,$H$9)</f>
        <v>16</v>
      </c>
      <c r="L9">
        <f t="shared" si="4"/>
        <v>19</v>
      </c>
      <c r="M9">
        <f t="shared" si="4"/>
        <v>19</v>
      </c>
      <c r="N9">
        <f t="shared" si="4"/>
        <v>27</v>
      </c>
      <c r="O9">
        <f t="shared" si="4"/>
        <v>25</v>
      </c>
      <c r="P9">
        <f t="shared" si="4"/>
        <v>23</v>
      </c>
      <c r="Q9">
        <f t="shared" si="4"/>
        <v>24</v>
      </c>
      <c r="R9">
        <f t="shared" si="4"/>
        <v>3</v>
      </c>
    </row>
    <row r="10" spans="1:20">
      <c r="A10">
        <v>1985</v>
      </c>
      <c r="B10" t="s">
        <v>310</v>
      </c>
      <c r="C10" t="s">
        <v>312</v>
      </c>
      <c r="D10">
        <v>13</v>
      </c>
      <c r="E10">
        <f t="shared" si="0"/>
        <v>1</v>
      </c>
      <c r="F10">
        <v>1</v>
      </c>
      <c r="I10" t="s">
        <v>334</v>
      </c>
      <c r="J10">
        <f>SUMIFS($F$2:$F$393,$A$2:$A$393,J4,$B$2:$B$393,$H$9)</f>
        <v>28</v>
      </c>
      <c r="K10">
        <f t="shared" ref="K10:R10" si="5">SUMIFS($F$2:$F$393,$A$2:$A$393,K4,$B$2:$B$393,$H$9)</f>
        <v>28</v>
      </c>
      <c r="L10">
        <f t="shared" si="5"/>
        <v>32</v>
      </c>
      <c r="M10">
        <f t="shared" si="5"/>
        <v>37</v>
      </c>
      <c r="N10">
        <f t="shared" si="5"/>
        <v>37</v>
      </c>
      <c r="O10">
        <f t="shared" si="5"/>
        <v>37</v>
      </c>
      <c r="P10">
        <f t="shared" si="5"/>
        <v>38</v>
      </c>
      <c r="Q10">
        <f t="shared" si="5"/>
        <v>35</v>
      </c>
      <c r="R10">
        <f t="shared" si="5"/>
        <v>5</v>
      </c>
    </row>
    <row r="11" spans="1:20">
      <c r="A11">
        <v>1986</v>
      </c>
      <c r="B11" t="s">
        <v>310</v>
      </c>
      <c r="C11" t="s">
        <v>312</v>
      </c>
      <c r="D11">
        <v>13</v>
      </c>
      <c r="E11">
        <f t="shared" si="0"/>
        <v>1</v>
      </c>
      <c r="F11">
        <v>1</v>
      </c>
      <c r="I11" t="s">
        <v>335</v>
      </c>
      <c r="J11" s="4">
        <f>J9/J10</f>
        <v>0</v>
      </c>
      <c r="K11" s="4">
        <f t="shared" ref="K11:R11" si="6">K9/K10</f>
        <v>0.57142857142857095</v>
      </c>
      <c r="L11" s="4">
        <f t="shared" si="6"/>
        <v>0.59375</v>
      </c>
      <c r="M11" s="4">
        <f t="shared" si="6"/>
        <v>0.51351351351351304</v>
      </c>
      <c r="N11" s="4">
        <f t="shared" si="6"/>
        <v>0.72972972972973005</v>
      </c>
      <c r="O11" s="4">
        <f t="shared" si="6"/>
        <v>0.67567567567567599</v>
      </c>
      <c r="P11" s="4">
        <f t="shared" si="6"/>
        <v>0.60526315789473695</v>
      </c>
      <c r="Q11" s="4">
        <f t="shared" si="6"/>
        <v>0.68571428571428605</v>
      </c>
      <c r="R11" s="4">
        <f t="shared" si="6"/>
        <v>0.6</v>
      </c>
    </row>
    <row r="12" spans="1:20">
      <c r="A12">
        <v>1987</v>
      </c>
      <c r="B12" t="s">
        <v>310</v>
      </c>
      <c r="C12" t="s">
        <v>312</v>
      </c>
      <c r="D12">
        <v>13</v>
      </c>
      <c r="E12">
        <f t="shared" si="0"/>
        <v>1</v>
      </c>
      <c r="F12">
        <v>1</v>
      </c>
    </row>
    <row r="13" spans="1:20">
      <c r="A13">
        <v>1988</v>
      </c>
      <c r="B13" t="s">
        <v>310</v>
      </c>
      <c r="C13" t="s">
        <v>312</v>
      </c>
      <c r="D13">
        <v>13</v>
      </c>
      <c r="E13">
        <f t="shared" si="0"/>
        <v>1</v>
      </c>
      <c r="F13">
        <v>1</v>
      </c>
    </row>
    <row r="14" spans="1:20">
      <c r="A14">
        <v>1989</v>
      </c>
      <c r="B14" t="s">
        <v>310</v>
      </c>
      <c r="C14" t="s">
        <v>299</v>
      </c>
      <c r="D14">
        <v>13</v>
      </c>
      <c r="E14">
        <f t="shared" si="0"/>
        <v>0</v>
      </c>
      <c r="F14">
        <v>1</v>
      </c>
      <c r="J14">
        <v>1983</v>
      </c>
      <c r="K14">
        <v>1984</v>
      </c>
      <c r="L14">
        <v>1985</v>
      </c>
      <c r="M14">
        <v>1986</v>
      </c>
      <c r="N14">
        <v>1987</v>
      </c>
      <c r="O14">
        <v>1988</v>
      </c>
      <c r="P14">
        <v>1989</v>
      </c>
      <c r="Q14">
        <v>1990</v>
      </c>
      <c r="R14">
        <v>1991</v>
      </c>
      <c r="T14" t="s">
        <v>340</v>
      </c>
    </row>
    <row r="15" spans="1:20">
      <c r="A15">
        <v>1990</v>
      </c>
      <c r="B15" t="s">
        <v>310</v>
      </c>
      <c r="C15" t="s">
        <v>299</v>
      </c>
      <c r="D15">
        <v>13</v>
      </c>
      <c r="E15">
        <f t="shared" si="0"/>
        <v>1</v>
      </c>
      <c r="F15">
        <v>1</v>
      </c>
      <c r="I15" t="s">
        <v>341</v>
      </c>
      <c r="J15" s="6">
        <v>0</v>
      </c>
      <c r="K15" s="6">
        <v>0.66666666666666696</v>
      </c>
      <c r="L15" s="6">
        <v>0.92307692307692302</v>
      </c>
      <c r="M15" s="6">
        <v>1</v>
      </c>
      <c r="N15" s="6">
        <v>0.92307692307692302</v>
      </c>
      <c r="O15" s="6">
        <v>1</v>
      </c>
      <c r="P15" s="6">
        <v>0.69230769230769196</v>
      </c>
      <c r="Q15" s="6">
        <v>0.71428571428571397</v>
      </c>
      <c r="R15" s="6">
        <v>0.92307692307692302</v>
      </c>
      <c r="T15" s="14">
        <f>AVERAGE(J15:R15)</f>
        <v>0.76027676027676006</v>
      </c>
    </row>
    <row r="16" spans="1:20">
      <c r="A16">
        <v>1983</v>
      </c>
      <c r="B16" t="s">
        <v>298</v>
      </c>
      <c r="C16" t="s">
        <v>301</v>
      </c>
      <c r="D16">
        <v>26</v>
      </c>
      <c r="E16">
        <f t="shared" si="0"/>
        <v>0</v>
      </c>
      <c r="F16">
        <v>1</v>
      </c>
      <c r="I16" t="s">
        <v>342</v>
      </c>
      <c r="J16" s="6">
        <v>0</v>
      </c>
      <c r="K16" s="6">
        <v>0.57142857142857095</v>
      </c>
      <c r="L16" s="6">
        <v>0.59375</v>
      </c>
      <c r="M16" s="6">
        <v>0.51351351351351304</v>
      </c>
      <c r="N16" s="6">
        <v>0.72972972972973005</v>
      </c>
      <c r="O16" s="6">
        <v>0.67567567567567599</v>
      </c>
      <c r="P16" s="6">
        <v>0.60526315789473695</v>
      </c>
      <c r="Q16" s="6">
        <v>0.68571428571428605</v>
      </c>
      <c r="R16" s="6">
        <v>0.6</v>
      </c>
      <c r="T16" s="14">
        <f>AVERAGE(J16:R16)</f>
        <v>0.55278610377294601</v>
      </c>
    </row>
    <row r="17" spans="1:18">
      <c r="A17">
        <v>1984</v>
      </c>
      <c r="B17" t="s">
        <v>298</v>
      </c>
      <c r="C17" t="s">
        <v>301</v>
      </c>
      <c r="D17">
        <v>26</v>
      </c>
      <c r="E17">
        <f t="shared" si="0"/>
        <v>1</v>
      </c>
      <c r="F17">
        <v>1</v>
      </c>
      <c r="J17" s="7">
        <v>0.7</v>
      </c>
      <c r="K17" s="7">
        <v>0.7</v>
      </c>
      <c r="L17" s="7">
        <v>0.7</v>
      </c>
      <c r="M17" s="7">
        <v>0.7</v>
      </c>
      <c r="N17" s="7">
        <v>0.7</v>
      </c>
      <c r="O17" s="7">
        <v>0.7</v>
      </c>
      <c r="P17" s="7">
        <v>0.7</v>
      </c>
      <c r="Q17" s="7">
        <v>0.7</v>
      </c>
      <c r="R17" s="7">
        <v>0.7</v>
      </c>
    </row>
    <row r="18" spans="1:18">
      <c r="A18">
        <v>1985</v>
      </c>
      <c r="B18" t="s">
        <v>298</v>
      </c>
      <c r="C18" t="s">
        <v>301</v>
      </c>
      <c r="D18">
        <v>26</v>
      </c>
      <c r="E18">
        <f t="shared" si="0"/>
        <v>1</v>
      </c>
      <c r="F18">
        <v>1</v>
      </c>
    </row>
    <row r="19" spans="1:18">
      <c r="A19">
        <v>1986</v>
      </c>
      <c r="B19" t="s">
        <v>298</v>
      </c>
      <c r="C19" t="s">
        <v>301</v>
      </c>
      <c r="D19">
        <v>26</v>
      </c>
      <c r="E19">
        <f t="shared" si="0"/>
        <v>1</v>
      </c>
      <c r="F19">
        <v>1</v>
      </c>
    </row>
    <row r="20" spans="1:18">
      <c r="A20">
        <v>1987</v>
      </c>
      <c r="B20" t="s">
        <v>298</v>
      </c>
      <c r="C20" t="s">
        <v>301</v>
      </c>
      <c r="D20">
        <v>26</v>
      </c>
      <c r="E20">
        <f t="shared" si="0"/>
        <v>1</v>
      </c>
      <c r="F20">
        <v>1</v>
      </c>
    </row>
    <row r="21" spans="1:18">
      <c r="A21">
        <v>1988</v>
      </c>
      <c r="B21" t="s">
        <v>298</v>
      </c>
      <c r="C21" t="s">
        <v>301</v>
      </c>
      <c r="D21">
        <v>26</v>
      </c>
      <c r="E21">
        <f t="shared" si="0"/>
        <v>1</v>
      </c>
      <c r="F21">
        <v>1</v>
      </c>
    </row>
    <row r="22" spans="1:18">
      <c r="A22">
        <v>1989</v>
      </c>
      <c r="B22" t="s">
        <v>298</v>
      </c>
      <c r="C22" t="s">
        <v>299</v>
      </c>
      <c r="D22">
        <v>26</v>
      </c>
      <c r="E22">
        <f t="shared" si="0"/>
        <v>0</v>
      </c>
      <c r="F22">
        <v>1</v>
      </c>
    </row>
    <row r="23" spans="1:18">
      <c r="A23">
        <v>1990</v>
      </c>
      <c r="B23" t="s">
        <v>298</v>
      </c>
      <c r="C23" t="s">
        <v>299</v>
      </c>
      <c r="D23">
        <v>26</v>
      </c>
      <c r="E23">
        <f t="shared" si="0"/>
        <v>1</v>
      </c>
      <c r="F23">
        <v>1</v>
      </c>
    </row>
    <row r="24" spans="1:18">
      <c r="A24">
        <v>1991</v>
      </c>
      <c r="B24" t="s">
        <v>298</v>
      </c>
      <c r="C24" t="s">
        <v>299</v>
      </c>
      <c r="D24">
        <v>26</v>
      </c>
      <c r="E24">
        <f t="shared" si="0"/>
        <v>1</v>
      </c>
      <c r="F24">
        <v>1</v>
      </c>
    </row>
    <row r="25" spans="1:18">
      <c r="A25">
        <v>1983</v>
      </c>
      <c r="B25" t="s">
        <v>298</v>
      </c>
      <c r="C25" t="s">
        <v>301</v>
      </c>
      <c r="D25">
        <v>32</v>
      </c>
      <c r="E25">
        <f t="shared" si="0"/>
        <v>0</v>
      </c>
      <c r="F25">
        <v>1</v>
      </c>
    </row>
    <row r="26" spans="1:18">
      <c r="A26">
        <v>1984</v>
      </c>
      <c r="B26" t="s">
        <v>298</v>
      </c>
      <c r="C26" t="s">
        <v>301</v>
      </c>
      <c r="D26">
        <v>32</v>
      </c>
      <c r="E26">
        <f t="shared" si="0"/>
        <v>1</v>
      </c>
      <c r="F26">
        <v>1</v>
      </c>
    </row>
    <row r="27" spans="1:18">
      <c r="A27">
        <v>1985</v>
      </c>
      <c r="B27" t="s">
        <v>298</v>
      </c>
      <c r="C27" t="s">
        <v>301</v>
      </c>
      <c r="D27">
        <v>32</v>
      </c>
      <c r="E27">
        <f t="shared" si="0"/>
        <v>1</v>
      </c>
      <c r="F27">
        <v>1</v>
      </c>
    </row>
    <row r="28" spans="1:18">
      <c r="A28">
        <v>1986</v>
      </c>
      <c r="B28" t="s">
        <v>298</v>
      </c>
      <c r="C28" t="s">
        <v>301</v>
      </c>
      <c r="D28">
        <v>32</v>
      </c>
      <c r="E28">
        <f t="shared" si="0"/>
        <v>1</v>
      </c>
      <c r="F28">
        <v>1</v>
      </c>
    </row>
    <row r="29" spans="1:18">
      <c r="A29">
        <v>1987</v>
      </c>
      <c r="B29" t="s">
        <v>298</v>
      </c>
      <c r="C29" t="s">
        <v>301</v>
      </c>
      <c r="D29">
        <v>32</v>
      </c>
      <c r="E29">
        <f t="shared" si="0"/>
        <v>1</v>
      </c>
      <c r="F29">
        <v>1</v>
      </c>
    </row>
    <row r="30" spans="1:18">
      <c r="A30">
        <v>1988</v>
      </c>
      <c r="B30" t="s">
        <v>298</v>
      </c>
      <c r="C30" t="s">
        <v>301</v>
      </c>
      <c r="D30">
        <v>32</v>
      </c>
      <c r="E30">
        <f t="shared" si="0"/>
        <v>1</v>
      </c>
      <c r="F30">
        <v>1</v>
      </c>
    </row>
    <row r="31" spans="1:18">
      <c r="A31">
        <v>1989</v>
      </c>
      <c r="B31" t="s">
        <v>298</v>
      </c>
      <c r="C31" t="s">
        <v>299</v>
      </c>
      <c r="D31">
        <v>32</v>
      </c>
      <c r="E31">
        <f t="shared" si="0"/>
        <v>0</v>
      </c>
      <c r="F31">
        <v>1</v>
      </c>
    </row>
    <row r="32" spans="1:18">
      <c r="A32">
        <v>1990</v>
      </c>
      <c r="B32" t="s">
        <v>298</v>
      </c>
      <c r="C32" t="s">
        <v>299</v>
      </c>
      <c r="D32">
        <v>32</v>
      </c>
      <c r="E32">
        <f t="shared" si="0"/>
        <v>1</v>
      </c>
      <c r="F32">
        <v>1</v>
      </c>
    </row>
    <row r="33" spans="1:6">
      <c r="A33">
        <v>1991</v>
      </c>
      <c r="B33" t="s">
        <v>298</v>
      </c>
      <c r="C33" t="s">
        <v>299</v>
      </c>
      <c r="D33">
        <v>32</v>
      </c>
      <c r="E33">
        <f t="shared" si="0"/>
        <v>1</v>
      </c>
      <c r="F33">
        <v>1</v>
      </c>
    </row>
    <row r="34" spans="1:6">
      <c r="A34">
        <v>1983</v>
      </c>
      <c r="B34" t="s">
        <v>298</v>
      </c>
      <c r="C34" t="s">
        <v>299</v>
      </c>
      <c r="D34">
        <v>35</v>
      </c>
      <c r="E34">
        <f t="shared" si="0"/>
        <v>0</v>
      </c>
      <c r="F34">
        <v>1</v>
      </c>
    </row>
    <row r="35" spans="1:6">
      <c r="A35">
        <v>1984</v>
      </c>
      <c r="B35" t="s">
        <v>298</v>
      </c>
      <c r="C35" t="s">
        <v>299</v>
      </c>
      <c r="D35">
        <v>35</v>
      </c>
      <c r="E35">
        <f t="shared" si="0"/>
        <v>1</v>
      </c>
      <c r="F35">
        <v>1</v>
      </c>
    </row>
    <row r="36" spans="1:6">
      <c r="A36">
        <v>1985</v>
      </c>
      <c r="B36" t="s">
        <v>298</v>
      </c>
      <c r="C36" t="s">
        <v>299</v>
      </c>
      <c r="D36">
        <v>35</v>
      </c>
      <c r="E36">
        <f t="shared" si="0"/>
        <v>1</v>
      </c>
      <c r="F36">
        <v>1</v>
      </c>
    </row>
    <row r="37" spans="1:6">
      <c r="A37">
        <v>1986</v>
      </c>
      <c r="B37" t="s">
        <v>298</v>
      </c>
      <c r="C37" t="s">
        <v>299</v>
      </c>
      <c r="D37">
        <v>35</v>
      </c>
      <c r="E37">
        <f t="shared" si="0"/>
        <v>1</v>
      </c>
      <c r="F37">
        <v>1</v>
      </c>
    </row>
    <row r="38" spans="1:6">
      <c r="A38">
        <v>1987</v>
      </c>
      <c r="B38" t="s">
        <v>298</v>
      </c>
      <c r="C38" t="s">
        <v>299</v>
      </c>
      <c r="D38">
        <v>35</v>
      </c>
      <c r="E38">
        <f t="shared" si="0"/>
        <v>1</v>
      </c>
      <c r="F38">
        <v>1</v>
      </c>
    </row>
    <row r="39" spans="1:6">
      <c r="A39">
        <v>1988</v>
      </c>
      <c r="B39" t="s">
        <v>298</v>
      </c>
      <c r="C39" t="s">
        <v>299</v>
      </c>
      <c r="D39">
        <v>35</v>
      </c>
      <c r="E39">
        <f t="shared" si="0"/>
        <v>1</v>
      </c>
      <c r="F39">
        <v>1</v>
      </c>
    </row>
    <row r="40" spans="1:6">
      <c r="A40">
        <v>1989</v>
      </c>
      <c r="B40" t="s">
        <v>298</v>
      </c>
      <c r="C40" t="s">
        <v>301</v>
      </c>
      <c r="D40">
        <v>35</v>
      </c>
      <c r="E40">
        <f t="shared" si="0"/>
        <v>0</v>
      </c>
      <c r="F40">
        <v>1</v>
      </c>
    </row>
    <row r="41" spans="1:6">
      <c r="A41">
        <v>1990</v>
      </c>
      <c r="B41" t="s">
        <v>298</v>
      </c>
      <c r="C41" t="s">
        <v>301</v>
      </c>
      <c r="D41">
        <v>35</v>
      </c>
      <c r="E41">
        <f t="shared" si="0"/>
        <v>1</v>
      </c>
      <c r="F41">
        <v>1</v>
      </c>
    </row>
    <row r="42" spans="1:6">
      <c r="A42">
        <v>1991</v>
      </c>
      <c r="B42" t="s">
        <v>298</v>
      </c>
      <c r="C42" t="s">
        <v>299</v>
      </c>
      <c r="D42">
        <v>35</v>
      </c>
      <c r="E42">
        <f t="shared" si="0"/>
        <v>0</v>
      </c>
      <c r="F42">
        <v>1</v>
      </c>
    </row>
    <row r="43" spans="1:6">
      <c r="A43">
        <v>1983</v>
      </c>
      <c r="B43" t="s">
        <v>310</v>
      </c>
      <c r="C43" t="s">
        <v>311</v>
      </c>
      <c r="D43">
        <v>41</v>
      </c>
      <c r="E43">
        <f t="shared" si="0"/>
        <v>0</v>
      </c>
      <c r="F43">
        <v>1</v>
      </c>
    </row>
    <row r="44" spans="1:6">
      <c r="A44">
        <v>1984</v>
      </c>
      <c r="B44" t="s">
        <v>310</v>
      </c>
      <c r="C44" t="s">
        <v>311</v>
      </c>
      <c r="D44">
        <v>41</v>
      </c>
      <c r="E44">
        <f t="shared" si="0"/>
        <v>1</v>
      </c>
      <c r="F44">
        <v>1</v>
      </c>
    </row>
    <row r="45" spans="1:6">
      <c r="A45">
        <v>1985</v>
      </c>
      <c r="B45" t="s">
        <v>310</v>
      </c>
      <c r="C45" t="s">
        <v>311</v>
      </c>
      <c r="D45">
        <v>41</v>
      </c>
      <c r="E45">
        <f t="shared" si="0"/>
        <v>1</v>
      </c>
      <c r="F45">
        <v>1</v>
      </c>
    </row>
    <row r="46" spans="1:6">
      <c r="A46">
        <v>1986</v>
      </c>
      <c r="B46" t="s">
        <v>310</v>
      </c>
      <c r="C46" t="s">
        <v>301</v>
      </c>
      <c r="D46">
        <v>41</v>
      </c>
      <c r="E46">
        <f t="shared" si="0"/>
        <v>0</v>
      </c>
      <c r="F46">
        <v>1</v>
      </c>
    </row>
    <row r="47" spans="1:6">
      <c r="A47">
        <v>1987</v>
      </c>
      <c r="B47" t="s">
        <v>310</v>
      </c>
      <c r="C47" t="s">
        <v>301</v>
      </c>
      <c r="D47">
        <v>41</v>
      </c>
      <c r="E47">
        <f t="shared" si="0"/>
        <v>1</v>
      </c>
      <c r="F47">
        <v>1</v>
      </c>
    </row>
    <row r="48" spans="1:6">
      <c r="A48">
        <v>1988</v>
      </c>
      <c r="B48" t="s">
        <v>310</v>
      </c>
      <c r="C48" t="s">
        <v>314</v>
      </c>
      <c r="D48">
        <v>41</v>
      </c>
      <c r="E48">
        <f t="shared" si="0"/>
        <v>0</v>
      </c>
      <c r="F48">
        <v>1</v>
      </c>
    </row>
    <row r="49" spans="1:11">
      <c r="A49">
        <v>1989</v>
      </c>
      <c r="B49" t="s">
        <v>310</v>
      </c>
      <c r="C49" t="s">
        <v>55</v>
      </c>
      <c r="D49">
        <v>41</v>
      </c>
      <c r="E49">
        <f t="shared" si="0"/>
        <v>0</v>
      </c>
      <c r="F49">
        <v>1</v>
      </c>
    </row>
    <row r="50" spans="1:11">
      <c r="A50">
        <v>1990</v>
      </c>
      <c r="B50" t="s">
        <v>310</v>
      </c>
      <c r="C50" t="s">
        <v>299</v>
      </c>
      <c r="D50">
        <v>41</v>
      </c>
      <c r="E50">
        <f t="shared" si="0"/>
        <v>0</v>
      </c>
      <c r="F50">
        <v>1</v>
      </c>
    </row>
    <row r="51" spans="1:11">
      <c r="A51">
        <v>1986</v>
      </c>
      <c r="B51" t="s">
        <v>310</v>
      </c>
      <c r="C51" t="s">
        <v>301</v>
      </c>
      <c r="D51">
        <v>55</v>
      </c>
      <c r="E51">
        <f t="shared" si="0"/>
        <v>0</v>
      </c>
      <c r="F51">
        <v>1</v>
      </c>
    </row>
    <row r="52" spans="1:11">
      <c r="A52">
        <v>1987</v>
      </c>
      <c r="B52" t="s">
        <v>310</v>
      </c>
      <c r="C52" t="s">
        <v>301</v>
      </c>
      <c r="D52">
        <v>55</v>
      </c>
      <c r="E52">
        <f t="shared" si="0"/>
        <v>1</v>
      </c>
      <c r="F52">
        <v>1</v>
      </c>
      <c r="I52" s="8"/>
      <c r="J52" s="9"/>
      <c r="K52" s="10"/>
    </row>
    <row r="53" spans="1:11">
      <c r="A53">
        <v>1988</v>
      </c>
      <c r="B53" t="s">
        <v>310</v>
      </c>
      <c r="C53" t="s">
        <v>301</v>
      </c>
      <c r="D53">
        <v>55</v>
      </c>
      <c r="E53">
        <f t="shared" si="0"/>
        <v>1</v>
      </c>
      <c r="F53">
        <v>1</v>
      </c>
      <c r="I53" s="11"/>
      <c r="J53" s="12"/>
      <c r="K53" s="13"/>
    </row>
    <row r="54" spans="1:11">
      <c r="A54">
        <v>1989</v>
      </c>
      <c r="B54" t="s">
        <v>310</v>
      </c>
      <c r="C54" t="s">
        <v>301</v>
      </c>
      <c r="D54">
        <v>55</v>
      </c>
      <c r="E54">
        <f t="shared" si="0"/>
        <v>1</v>
      </c>
      <c r="F54">
        <v>1</v>
      </c>
      <c r="I54" s="11"/>
      <c r="J54" s="12"/>
      <c r="K54" s="13"/>
    </row>
    <row r="55" spans="1:11">
      <c r="A55">
        <v>1990</v>
      </c>
      <c r="B55" t="s">
        <v>310</v>
      </c>
      <c r="C55" t="s">
        <v>301</v>
      </c>
      <c r="D55">
        <v>55</v>
      </c>
      <c r="E55">
        <f t="shared" si="0"/>
        <v>1</v>
      </c>
      <c r="F55">
        <v>1</v>
      </c>
      <c r="I55" s="11"/>
      <c r="J55" s="12"/>
      <c r="K55" s="13"/>
    </row>
    <row r="56" spans="1:11">
      <c r="A56">
        <v>1983</v>
      </c>
      <c r="B56" t="s">
        <v>310</v>
      </c>
      <c r="C56" t="s">
        <v>324</v>
      </c>
      <c r="D56">
        <v>71</v>
      </c>
      <c r="E56">
        <f t="shared" si="0"/>
        <v>0</v>
      </c>
      <c r="F56">
        <v>1</v>
      </c>
      <c r="I56" s="11"/>
      <c r="J56" s="12"/>
      <c r="K56" s="13"/>
    </row>
    <row r="57" spans="1:11">
      <c r="A57">
        <v>1984</v>
      </c>
      <c r="B57" t="s">
        <v>310</v>
      </c>
      <c r="C57" t="s">
        <v>319</v>
      </c>
      <c r="D57">
        <v>71</v>
      </c>
      <c r="E57">
        <f t="shared" si="0"/>
        <v>0</v>
      </c>
      <c r="F57">
        <v>1</v>
      </c>
      <c r="I57" s="11"/>
      <c r="J57" s="12"/>
      <c r="K57" s="13"/>
    </row>
    <row r="58" spans="1:11">
      <c r="A58">
        <v>1985</v>
      </c>
      <c r="B58" t="s">
        <v>310</v>
      </c>
      <c r="C58" t="s">
        <v>318</v>
      </c>
      <c r="D58">
        <v>71</v>
      </c>
      <c r="E58">
        <f t="shared" si="0"/>
        <v>0</v>
      </c>
      <c r="F58">
        <v>1</v>
      </c>
      <c r="I58" s="11"/>
      <c r="J58" s="12"/>
      <c r="K58" s="13"/>
    </row>
    <row r="59" spans="1:11">
      <c r="A59">
        <v>1986</v>
      </c>
      <c r="B59" t="s">
        <v>310</v>
      </c>
      <c r="C59" t="s">
        <v>317</v>
      </c>
      <c r="D59">
        <v>71</v>
      </c>
      <c r="E59">
        <f t="shared" si="0"/>
        <v>0</v>
      </c>
      <c r="F59">
        <v>1</v>
      </c>
      <c r="I59" s="11"/>
      <c r="J59" s="12"/>
      <c r="K59" s="13"/>
    </row>
    <row r="60" spans="1:11">
      <c r="A60">
        <v>1987</v>
      </c>
      <c r="B60" t="s">
        <v>310</v>
      </c>
      <c r="C60" t="s">
        <v>317</v>
      </c>
      <c r="D60">
        <v>71</v>
      </c>
      <c r="E60">
        <f t="shared" si="0"/>
        <v>1</v>
      </c>
      <c r="F60">
        <v>1</v>
      </c>
      <c r="I60" s="11"/>
      <c r="J60" s="12"/>
      <c r="K60" s="13"/>
    </row>
    <row r="61" spans="1:11">
      <c r="A61">
        <v>1988</v>
      </c>
      <c r="B61" t="s">
        <v>310</v>
      </c>
      <c r="C61" t="s">
        <v>314</v>
      </c>
      <c r="D61">
        <v>71</v>
      </c>
      <c r="E61">
        <f t="shared" si="0"/>
        <v>0</v>
      </c>
      <c r="F61">
        <v>1</v>
      </c>
      <c r="I61" s="11"/>
      <c r="J61" s="12"/>
      <c r="K61" s="13"/>
    </row>
    <row r="62" spans="1:11">
      <c r="A62">
        <v>1989</v>
      </c>
      <c r="B62" t="s">
        <v>310</v>
      </c>
      <c r="C62" t="s">
        <v>314</v>
      </c>
      <c r="D62">
        <v>71</v>
      </c>
      <c r="E62">
        <f t="shared" si="0"/>
        <v>1</v>
      </c>
      <c r="F62">
        <v>1</v>
      </c>
      <c r="I62" s="11"/>
      <c r="J62" s="12"/>
      <c r="K62" s="13"/>
    </row>
    <row r="63" spans="1:11">
      <c r="A63">
        <v>1990</v>
      </c>
      <c r="B63" t="s">
        <v>310</v>
      </c>
      <c r="C63" t="s">
        <v>318</v>
      </c>
      <c r="D63">
        <v>71</v>
      </c>
      <c r="E63">
        <f t="shared" si="0"/>
        <v>0</v>
      </c>
      <c r="F63">
        <v>1</v>
      </c>
      <c r="I63" s="11"/>
      <c r="J63" s="12"/>
      <c r="K63" s="13"/>
    </row>
    <row r="64" spans="1:11">
      <c r="A64">
        <v>1983</v>
      </c>
      <c r="B64" t="s">
        <v>298</v>
      </c>
      <c r="C64" t="s">
        <v>299</v>
      </c>
      <c r="D64">
        <v>91</v>
      </c>
      <c r="E64">
        <f t="shared" si="0"/>
        <v>0</v>
      </c>
      <c r="F64">
        <v>1</v>
      </c>
      <c r="I64" s="11"/>
      <c r="J64" s="12"/>
      <c r="K64" s="13"/>
    </row>
    <row r="65" spans="1:11">
      <c r="A65">
        <v>1984</v>
      </c>
      <c r="B65" t="s">
        <v>298</v>
      </c>
      <c r="C65" t="s">
        <v>301</v>
      </c>
      <c r="D65">
        <v>91</v>
      </c>
      <c r="E65">
        <f t="shared" si="0"/>
        <v>0</v>
      </c>
      <c r="F65">
        <v>1</v>
      </c>
      <c r="I65" s="11"/>
      <c r="J65" s="12"/>
      <c r="K65" s="13"/>
    </row>
    <row r="66" spans="1:11">
      <c r="A66">
        <v>1985</v>
      </c>
      <c r="B66" t="s">
        <v>298</v>
      </c>
      <c r="C66" t="s">
        <v>301</v>
      </c>
      <c r="D66">
        <v>91</v>
      </c>
      <c r="E66">
        <f t="shared" si="0"/>
        <v>1</v>
      </c>
      <c r="F66">
        <v>1</v>
      </c>
      <c r="I66" s="11"/>
      <c r="J66" s="12"/>
      <c r="K66" s="13"/>
    </row>
    <row r="67" spans="1:11">
      <c r="A67">
        <v>1986</v>
      </c>
      <c r="B67" t="s">
        <v>298</v>
      </c>
      <c r="C67" t="s">
        <v>301</v>
      </c>
      <c r="D67">
        <v>91</v>
      </c>
      <c r="E67">
        <f t="shared" si="0"/>
        <v>1</v>
      </c>
      <c r="F67">
        <v>1</v>
      </c>
      <c r="I67" s="11"/>
      <c r="J67" s="12"/>
      <c r="K67" s="13"/>
    </row>
    <row r="68" spans="1:11">
      <c r="A68">
        <v>1987</v>
      </c>
      <c r="B68" t="s">
        <v>298</v>
      </c>
      <c r="C68" t="s">
        <v>301</v>
      </c>
      <c r="D68">
        <v>91</v>
      </c>
      <c r="E68">
        <f t="shared" ref="E68:E131" si="7">IF(AND(C68=C67,D68=D67,A68=A67+1),1,0)</f>
        <v>1</v>
      </c>
      <c r="F68">
        <v>1</v>
      </c>
      <c r="I68" s="11"/>
      <c r="J68" s="12"/>
      <c r="K68" s="13"/>
    </row>
    <row r="69" spans="1:11">
      <c r="A69">
        <v>1988</v>
      </c>
      <c r="B69" t="s">
        <v>298</v>
      </c>
      <c r="C69" t="s">
        <v>301</v>
      </c>
      <c r="D69">
        <v>91</v>
      </c>
      <c r="E69">
        <f t="shared" si="7"/>
        <v>1</v>
      </c>
      <c r="F69">
        <v>1</v>
      </c>
      <c r="I69" s="15"/>
      <c r="J69" s="16"/>
      <c r="K69" s="17"/>
    </row>
    <row r="70" spans="1:11">
      <c r="A70">
        <v>1989</v>
      </c>
      <c r="B70" t="s">
        <v>298</v>
      </c>
      <c r="C70" t="s">
        <v>299</v>
      </c>
      <c r="D70">
        <v>91</v>
      </c>
      <c r="E70">
        <f t="shared" si="7"/>
        <v>0</v>
      </c>
      <c r="F70">
        <v>1</v>
      </c>
    </row>
    <row r="71" spans="1:11">
      <c r="A71">
        <v>1990</v>
      </c>
      <c r="B71" t="s">
        <v>298</v>
      </c>
      <c r="C71" t="s">
        <v>301</v>
      </c>
      <c r="D71">
        <v>91</v>
      </c>
      <c r="E71">
        <f t="shared" si="7"/>
        <v>0</v>
      </c>
      <c r="F71">
        <v>1</v>
      </c>
    </row>
    <row r="72" spans="1:11">
      <c r="A72">
        <v>1991</v>
      </c>
      <c r="B72" t="s">
        <v>298</v>
      </c>
      <c r="C72" t="s">
        <v>301</v>
      </c>
      <c r="D72">
        <v>91</v>
      </c>
      <c r="E72">
        <f t="shared" si="7"/>
        <v>1</v>
      </c>
      <c r="F72">
        <v>1</v>
      </c>
    </row>
    <row r="73" spans="1:11">
      <c r="A73">
        <v>1983</v>
      </c>
      <c r="B73" t="s">
        <v>310</v>
      </c>
      <c r="C73" t="s">
        <v>316</v>
      </c>
      <c r="D73">
        <v>101</v>
      </c>
      <c r="E73">
        <f t="shared" si="7"/>
        <v>0</v>
      </c>
      <c r="F73">
        <v>1</v>
      </c>
    </row>
    <row r="74" spans="1:11">
      <c r="A74">
        <v>1984</v>
      </c>
      <c r="B74" t="s">
        <v>310</v>
      </c>
      <c r="C74" t="s">
        <v>316</v>
      </c>
      <c r="D74">
        <v>101</v>
      </c>
      <c r="E74">
        <f t="shared" si="7"/>
        <v>1</v>
      </c>
      <c r="F74">
        <v>1</v>
      </c>
    </row>
    <row r="75" spans="1:11">
      <c r="A75">
        <v>1985</v>
      </c>
      <c r="B75" t="s">
        <v>310</v>
      </c>
      <c r="C75" t="s">
        <v>315</v>
      </c>
      <c r="D75">
        <v>101</v>
      </c>
      <c r="E75">
        <f t="shared" si="7"/>
        <v>0</v>
      </c>
      <c r="F75">
        <v>1</v>
      </c>
    </row>
    <row r="76" spans="1:11">
      <c r="A76">
        <v>1986</v>
      </c>
      <c r="B76" t="s">
        <v>310</v>
      </c>
      <c r="C76" t="s">
        <v>316</v>
      </c>
      <c r="D76">
        <v>101</v>
      </c>
      <c r="E76">
        <f t="shared" si="7"/>
        <v>0</v>
      </c>
      <c r="F76">
        <v>1</v>
      </c>
    </row>
    <row r="77" spans="1:11">
      <c r="A77">
        <v>1987</v>
      </c>
      <c r="B77" t="s">
        <v>310</v>
      </c>
      <c r="C77" t="s">
        <v>323</v>
      </c>
      <c r="D77">
        <v>101</v>
      </c>
      <c r="E77">
        <f t="shared" si="7"/>
        <v>0</v>
      </c>
      <c r="F77">
        <v>1</v>
      </c>
    </row>
    <row r="78" spans="1:11">
      <c r="A78">
        <v>1988</v>
      </c>
      <c r="B78" t="s">
        <v>310</v>
      </c>
      <c r="C78" t="s">
        <v>301</v>
      </c>
      <c r="D78">
        <v>101</v>
      </c>
      <c r="E78">
        <f t="shared" si="7"/>
        <v>0</v>
      </c>
      <c r="F78">
        <v>1</v>
      </c>
    </row>
    <row r="79" spans="1:11">
      <c r="A79">
        <v>1989</v>
      </c>
      <c r="B79" t="s">
        <v>310</v>
      </c>
      <c r="C79" t="s">
        <v>323</v>
      </c>
      <c r="D79">
        <v>101</v>
      </c>
      <c r="E79">
        <f t="shared" si="7"/>
        <v>0</v>
      </c>
      <c r="F79">
        <v>1</v>
      </c>
    </row>
    <row r="80" spans="1:11">
      <c r="A80">
        <v>1990</v>
      </c>
      <c r="B80" t="s">
        <v>310</v>
      </c>
      <c r="C80" t="s">
        <v>323</v>
      </c>
      <c r="D80">
        <v>101</v>
      </c>
      <c r="E80">
        <f t="shared" si="7"/>
        <v>1</v>
      </c>
      <c r="F80">
        <v>1</v>
      </c>
    </row>
    <row r="81" spans="1:6">
      <c r="A81">
        <v>1983</v>
      </c>
      <c r="B81" t="s">
        <v>310</v>
      </c>
      <c r="C81" t="s">
        <v>55</v>
      </c>
      <c r="D81">
        <v>121</v>
      </c>
      <c r="E81">
        <f t="shared" si="7"/>
        <v>0</v>
      </c>
      <c r="F81">
        <v>1</v>
      </c>
    </row>
    <row r="82" spans="1:6">
      <c r="A82">
        <v>1984</v>
      </c>
      <c r="B82" t="s">
        <v>310</v>
      </c>
      <c r="C82" t="s">
        <v>324</v>
      </c>
      <c r="D82">
        <v>121</v>
      </c>
      <c r="E82">
        <f t="shared" si="7"/>
        <v>0</v>
      </c>
      <c r="F82">
        <v>1</v>
      </c>
    </row>
    <row r="83" spans="1:6">
      <c r="A83">
        <v>1985</v>
      </c>
      <c r="B83" t="s">
        <v>310</v>
      </c>
      <c r="C83" t="s">
        <v>324</v>
      </c>
      <c r="D83">
        <v>121</v>
      </c>
      <c r="E83">
        <f t="shared" si="7"/>
        <v>1</v>
      </c>
      <c r="F83">
        <v>1</v>
      </c>
    </row>
    <row r="84" spans="1:6">
      <c r="A84">
        <v>1986</v>
      </c>
      <c r="B84" t="s">
        <v>310</v>
      </c>
      <c r="C84" t="s">
        <v>301</v>
      </c>
      <c r="D84">
        <v>121</v>
      </c>
      <c r="E84">
        <f t="shared" si="7"/>
        <v>0</v>
      </c>
      <c r="F84">
        <v>1</v>
      </c>
    </row>
    <row r="85" spans="1:6">
      <c r="A85">
        <v>1987</v>
      </c>
      <c r="B85" t="s">
        <v>310</v>
      </c>
      <c r="C85" t="s">
        <v>301</v>
      </c>
      <c r="D85">
        <v>121</v>
      </c>
      <c r="E85">
        <f t="shared" si="7"/>
        <v>1</v>
      </c>
      <c r="F85">
        <v>1</v>
      </c>
    </row>
    <row r="86" spans="1:6">
      <c r="A86">
        <v>1988</v>
      </c>
      <c r="B86" t="s">
        <v>310</v>
      </c>
      <c r="C86" t="s">
        <v>301</v>
      </c>
      <c r="D86">
        <v>121</v>
      </c>
      <c r="E86">
        <f t="shared" si="7"/>
        <v>1</v>
      </c>
      <c r="F86">
        <v>1</v>
      </c>
    </row>
    <row r="87" spans="1:6">
      <c r="A87">
        <v>1989</v>
      </c>
      <c r="B87" t="s">
        <v>310</v>
      </c>
      <c r="C87" t="s">
        <v>301</v>
      </c>
      <c r="D87">
        <v>121</v>
      </c>
      <c r="E87">
        <f t="shared" si="7"/>
        <v>1</v>
      </c>
      <c r="F87">
        <v>1</v>
      </c>
    </row>
    <row r="88" spans="1:6">
      <c r="A88">
        <v>1990</v>
      </c>
      <c r="B88" t="s">
        <v>310</v>
      </c>
      <c r="C88" t="s">
        <v>301</v>
      </c>
      <c r="D88">
        <v>121</v>
      </c>
      <c r="E88">
        <f t="shared" si="7"/>
        <v>1</v>
      </c>
      <c r="F88">
        <v>1</v>
      </c>
    </row>
    <row r="89" spans="1:6">
      <c r="A89">
        <v>1983</v>
      </c>
      <c r="B89" t="s">
        <v>298</v>
      </c>
      <c r="C89" t="s">
        <v>299</v>
      </c>
      <c r="D89">
        <v>134</v>
      </c>
      <c r="E89">
        <f t="shared" si="7"/>
        <v>0</v>
      </c>
      <c r="F89">
        <v>1</v>
      </c>
    </row>
    <row r="90" spans="1:6">
      <c r="A90">
        <v>1984</v>
      </c>
      <c r="B90" t="s">
        <v>298</v>
      </c>
      <c r="C90" t="s">
        <v>299</v>
      </c>
      <c r="D90">
        <v>134</v>
      </c>
      <c r="E90">
        <f t="shared" si="7"/>
        <v>1</v>
      </c>
      <c r="F90">
        <v>1</v>
      </c>
    </row>
    <row r="91" spans="1:6">
      <c r="A91">
        <v>1985</v>
      </c>
      <c r="B91" t="s">
        <v>298</v>
      </c>
      <c r="C91" t="s">
        <v>299</v>
      </c>
      <c r="D91">
        <v>134</v>
      </c>
      <c r="E91">
        <f t="shared" si="7"/>
        <v>1</v>
      </c>
      <c r="F91">
        <v>1</v>
      </c>
    </row>
    <row r="92" spans="1:6">
      <c r="A92">
        <v>1986</v>
      </c>
      <c r="B92" t="s">
        <v>298</v>
      </c>
      <c r="C92" t="s">
        <v>299</v>
      </c>
      <c r="D92">
        <v>134</v>
      </c>
      <c r="E92">
        <f t="shared" si="7"/>
        <v>1</v>
      </c>
      <c r="F92">
        <v>1</v>
      </c>
    </row>
    <row r="93" spans="1:6">
      <c r="A93">
        <v>1987</v>
      </c>
      <c r="B93" t="s">
        <v>298</v>
      </c>
      <c r="C93" t="s">
        <v>299</v>
      </c>
      <c r="D93">
        <v>134</v>
      </c>
      <c r="E93">
        <f t="shared" si="7"/>
        <v>1</v>
      </c>
      <c r="F93">
        <v>1</v>
      </c>
    </row>
    <row r="94" spans="1:6">
      <c r="A94">
        <v>1988</v>
      </c>
      <c r="B94" t="s">
        <v>298</v>
      </c>
      <c r="C94" t="s">
        <v>299</v>
      </c>
      <c r="D94">
        <v>134</v>
      </c>
      <c r="E94">
        <f t="shared" si="7"/>
        <v>1</v>
      </c>
      <c r="F94">
        <v>1</v>
      </c>
    </row>
    <row r="95" spans="1:6">
      <c r="A95">
        <v>1989</v>
      </c>
      <c r="B95" t="s">
        <v>298</v>
      </c>
      <c r="C95" t="s">
        <v>299</v>
      </c>
      <c r="D95">
        <v>134</v>
      </c>
      <c r="E95">
        <f t="shared" si="7"/>
        <v>1</v>
      </c>
      <c r="F95">
        <v>1</v>
      </c>
    </row>
    <row r="96" spans="1:6">
      <c r="A96">
        <v>1990</v>
      </c>
      <c r="B96" t="s">
        <v>298</v>
      </c>
      <c r="C96" t="s">
        <v>299</v>
      </c>
      <c r="D96">
        <v>134</v>
      </c>
      <c r="E96">
        <f t="shared" si="7"/>
        <v>1</v>
      </c>
      <c r="F96">
        <v>1</v>
      </c>
    </row>
    <row r="97" spans="1:6">
      <c r="A97">
        <v>1991</v>
      </c>
      <c r="B97" t="s">
        <v>298</v>
      </c>
      <c r="C97" t="s">
        <v>299</v>
      </c>
      <c r="D97">
        <v>134</v>
      </c>
      <c r="E97">
        <f t="shared" si="7"/>
        <v>1</v>
      </c>
      <c r="F97">
        <v>1</v>
      </c>
    </row>
    <row r="98" spans="1:6">
      <c r="A98">
        <v>1985</v>
      </c>
      <c r="B98" t="s">
        <v>298</v>
      </c>
      <c r="C98" t="s">
        <v>299</v>
      </c>
      <c r="D98">
        <v>147</v>
      </c>
      <c r="E98">
        <f t="shared" si="7"/>
        <v>0</v>
      </c>
      <c r="F98">
        <v>1</v>
      </c>
    </row>
    <row r="99" spans="1:6">
      <c r="A99">
        <v>1986</v>
      </c>
      <c r="B99" t="s">
        <v>298</v>
      </c>
      <c r="C99" t="s">
        <v>299</v>
      </c>
      <c r="D99">
        <v>147</v>
      </c>
      <c r="E99">
        <f t="shared" si="7"/>
        <v>1</v>
      </c>
      <c r="F99">
        <v>1</v>
      </c>
    </row>
    <row r="100" spans="1:6">
      <c r="A100">
        <v>1987</v>
      </c>
      <c r="B100" t="s">
        <v>298</v>
      </c>
      <c r="C100" t="s">
        <v>301</v>
      </c>
      <c r="D100">
        <v>147</v>
      </c>
      <c r="E100">
        <f t="shared" si="7"/>
        <v>0</v>
      </c>
      <c r="F100">
        <v>1</v>
      </c>
    </row>
    <row r="101" spans="1:6">
      <c r="A101">
        <v>1988</v>
      </c>
      <c r="B101" t="s">
        <v>298</v>
      </c>
      <c r="C101" t="s">
        <v>301</v>
      </c>
      <c r="D101">
        <v>147</v>
      </c>
      <c r="E101">
        <f t="shared" si="7"/>
        <v>1</v>
      </c>
      <c r="F101">
        <v>1</v>
      </c>
    </row>
    <row r="102" spans="1:6">
      <c r="A102">
        <v>1989</v>
      </c>
      <c r="B102" t="s">
        <v>298</v>
      </c>
      <c r="C102" t="s">
        <v>301</v>
      </c>
      <c r="D102">
        <v>147</v>
      </c>
      <c r="E102">
        <f t="shared" si="7"/>
        <v>1</v>
      </c>
      <c r="F102">
        <v>1</v>
      </c>
    </row>
    <row r="103" spans="1:6">
      <c r="A103">
        <v>1990</v>
      </c>
      <c r="B103" t="s">
        <v>298</v>
      </c>
      <c r="C103" t="s">
        <v>299</v>
      </c>
      <c r="D103">
        <v>147</v>
      </c>
      <c r="E103">
        <f t="shared" si="7"/>
        <v>0</v>
      </c>
      <c r="F103">
        <v>1</v>
      </c>
    </row>
    <row r="104" spans="1:6">
      <c r="A104">
        <v>1990</v>
      </c>
      <c r="B104" t="s">
        <v>298</v>
      </c>
      <c r="C104" t="s">
        <v>301</v>
      </c>
      <c r="D104">
        <v>147</v>
      </c>
      <c r="E104">
        <f t="shared" si="7"/>
        <v>0</v>
      </c>
      <c r="F104">
        <v>1</v>
      </c>
    </row>
    <row r="105" spans="1:6">
      <c r="A105">
        <v>1991</v>
      </c>
      <c r="B105" t="s">
        <v>298</v>
      </c>
      <c r="C105" t="s">
        <v>301</v>
      </c>
      <c r="D105">
        <v>147</v>
      </c>
      <c r="E105">
        <f t="shared" si="7"/>
        <v>1</v>
      </c>
      <c r="F105">
        <v>1</v>
      </c>
    </row>
    <row r="106" spans="1:6">
      <c r="A106">
        <v>1983</v>
      </c>
      <c r="B106" t="s">
        <v>298</v>
      </c>
      <c r="C106" t="s">
        <v>299</v>
      </c>
      <c r="D106">
        <v>157</v>
      </c>
      <c r="E106">
        <f t="shared" si="7"/>
        <v>0</v>
      </c>
      <c r="F106">
        <v>1</v>
      </c>
    </row>
    <row r="107" spans="1:6">
      <c r="A107">
        <v>1984</v>
      </c>
      <c r="B107" t="s">
        <v>298</v>
      </c>
      <c r="C107" t="s">
        <v>299</v>
      </c>
      <c r="D107">
        <v>157</v>
      </c>
      <c r="E107">
        <f t="shared" si="7"/>
        <v>1</v>
      </c>
      <c r="F107">
        <v>1</v>
      </c>
    </row>
    <row r="108" spans="1:6">
      <c r="A108">
        <v>1985</v>
      </c>
      <c r="B108" t="s">
        <v>298</v>
      </c>
      <c r="C108" t="s">
        <v>299</v>
      </c>
      <c r="D108">
        <v>157</v>
      </c>
      <c r="E108">
        <f t="shared" si="7"/>
        <v>1</v>
      </c>
      <c r="F108">
        <v>1</v>
      </c>
    </row>
    <row r="109" spans="1:6">
      <c r="A109">
        <v>1986</v>
      </c>
      <c r="B109" t="s">
        <v>298</v>
      </c>
      <c r="C109" t="s">
        <v>299</v>
      </c>
      <c r="D109">
        <v>157</v>
      </c>
      <c r="E109">
        <f t="shared" si="7"/>
        <v>1</v>
      </c>
      <c r="F109">
        <v>1</v>
      </c>
    </row>
    <row r="110" spans="1:6">
      <c r="A110">
        <v>1987</v>
      </c>
      <c r="B110" t="s">
        <v>298</v>
      </c>
      <c r="C110" t="s">
        <v>299</v>
      </c>
      <c r="D110">
        <v>157</v>
      </c>
      <c r="E110">
        <f t="shared" si="7"/>
        <v>1</v>
      </c>
      <c r="F110">
        <v>1</v>
      </c>
    </row>
    <row r="111" spans="1:6">
      <c r="A111">
        <v>1988</v>
      </c>
      <c r="B111" t="s">
        <v>298</v>
      </c>
      <c r="C111" t="s">
        <v>299</v>
      </c>
      <c r="D111">
        <v>157</v>
      </c>
      <c r="E111">
        <f t="shared" si="7"/>
        <v>1</v>
      </c>
      <c r="F111">
        <v>1</v>
      </c>
    </row>
    <row r="112" spans="1:6">
      <c r="A112">
        <v>1989</v>
      </c>
      <c r="B112" t="s">
        <v>298</v>
      </c>
      <c r="C112" t="s">
        <v>299</v>
      </c>
      <c r="D112">
        <v>157</v>
      </c>
      <c r="E112">
        <f t="shared" si="7"/>
        <v>1</v>
      </c>
      <c r="F112">
        <v>1</v>
      </c>
    </row>
    <row r="113" spans="1:6">
      <c r="A113">
        <v>1990</v>
      </c>
      <c r="B113" t="s">
        <v>298</v>
      </c>
      <c r="C113" t="s">
        <v>301</v>
      </c>
      <c r="D113">
        <v>157</v>
      </c>
      <c r="E113">
        <f t="shared" si="7"/>
        <v>0</v>
      </c>
      <c r="F113">
        <v>1</v>
      </c>
    </row>
    <row r="114" spans="1:6">
      <c r="A114">
        <v>1991</v>
      </c>
      <c r="B114" t="s">
        <v>298</v>
      </c>
      <c r="C114" t="s">
        <v>301</v>
      </c>
      <c r="D114">
        <v>157</v>
      </c>
      <c r="E114">
        <f t="shared" si="7"/>
        <v>1</v>
      </c>
      <c r="F114">
        <v>1</v>
      </c>
    </row>
    <row r="115" spans="1:6">
      <c r="A115">
        <v>1983</v>
      </c>
      <c r="B115" t="s">
        <v>310</v>
      </c>
      <c r="C115" t="s">
        <v>301</v>
      </c>
      <c r="D115">
        <v>165</v>
      </c>
      <c r="E115">
        <f t="shared" si="7"/>
        <v>0</v>
      </c>
      <c r="F115">
        <v>1</v>
      </c>
    </row>
    <row r="116" spans="1:6">
      <c r="A116">
        <v>1984</v>
      </c>
      <c r="B116" t="s">
        <v>310</v>
      </c>
      <c r="C116" t="s">
        <v>311</v>
      </c>
      <c r="D116">
        <v>165</v>
      </c>
      <c r="E116">
        <f t="shared" si="7"/>
        <v>0</v>
      </c>
      <c r="F116">
        <v>1</v>
      </c>
    </row>
    <row r="117" spans="1:6">
      <c r="A117">
        <v>1985</v>
      </c>
      <c r="B117" t="s">
        <v>310</v>
      </c>
      <c r="C117" t="s">
        <v>311</v>
      </c>
      <c r="D117">
        <v>165</v>
      </c>
      <c r="E117">
        <f t="shared" si="7"/>
        <v>1</v>
      </c>
      <c r="F117">
        <v>1</v>
      </c>
    </row>
    <row r="118" spans="1:6">
      <c r="A118">
        <v>1986</v>
      </c>
      <c r="B118" t="s">
        <v>310</v>
      </c>
      <c r="C118" t="s">
        <v>311</v>
      </c>
      <c r="D118">
        <v>165</v>
      </c>
      <c r="E118">
        <f t="shared" si="7"/>
        <v>1</v>
      </c>
      <c r="F118">
        <v>1</v>
      </c>
    </row>
    <row r="119" spans="1:6">
      <c r="A119">
        <v>1987</v>
      </c>
      <c r="B119" t="s">
        <v>310</v>
      </c>
      <c r="C119" t="s">
        <v>55</v>
      </c>
      <c r="D119">
        <v>165</v>
      </c>
      <c r="E119">
        <f t="shared" si="7"/>
        <v>0</v>
      </c>
      <c r="F119">
        <v>1</v>
      </c>
    </row>
    <row r="120" spans="1:6">
      <c r="A120">
        <v>1988</v>
      </c>
      <c r="B120" t="s">
        <v>310</v>
      </c>
      <c r="C120" t="s">
        <v>311</v>
      </c>
      <c r="D120">
        <v>165</v>
      </c>
      <c r="E120">
        <f t="shared" si="7"/>
        <v>0</v>
      </c>
      <c r="F120">
        <v>1</v>
      </c>
    </row>
    <row r="121" spans="1:6">
      <c r="A121">
        <v>1989</v>
      </c>
      <c r="B121" t="s">
        <v>310</v>
      </c>
      <c r="C121" t="s">
        <v>301</v>
      </c>
      <c r="D121">
        <v>165</v>
      </c>
      <c r="E121">
        <f t="shared" si="7"/>
        <v>0</v>
      </c>
      <c r="F121">
        <v>1</v>
      </c>
    </row>
    <row r="122" spans="1:6">
      <c r="A122">
        <v>1990</v>
      </c>
      <c r="B122" t="s">
        <v>310</v>
      </c>
      <c r="C122" t="s">
        <v>301</v>
      </c>
      <c r="D122">
        <v>165</v>
      </c>
      <c r="E122">
        <f t="shared" si="7"/>
        <v>1</v>
      </c>
      <c r="F122">
        <v>1</v>
      </c>
    </row>
    <row r="123" spans="1:6">
      <c r="A123">
        <v>1983</v>
      </c>
      <c r="B123" t="s">
        <v>310</v>
      </c>
      <c r="C123" t="s">
        <v>312</v>
      </c>
      <c r="D123">
        <v>171</v>
      </c>
      <c r="E123">
        <f t="shared" si="7"/>
        <v>0</v>
      </c>
      <c r="F123">
        <v>1</v>
      </c>
    </row>
    <row r="124" spans="1:6">
      <c r="A124">
        <v>1984</v>
      </c>
      <c r="B124" t="s">
        <v>310</v>
      </c>
      <c r="C124" t="s">
        <v>312</v>
      </c>
      <c r="D124">
        <v>171</v>
      </c>
      <c r="E124">
        <f t="shared" si="7"/>
        <v>1</v>
      </c>
      <c r="F124">
        <v>1</v>
      </c>
    </row>
    <row r="125" spans="1:6">
      <c r="A125">
        <v>1985</v>
      </c>
      <c r="B125" t="s">
        <v>310</v>
      </c>
      <c r="C125" t="s">
        <v>312</v>
      </c>
      <c r="D125">
        <v>171</v>
      </c>
      <c r="E125">
        <f t="shared" si="7"/>
        <v>1</v>
      </c>
      <c r="F125">
        <v>1</v>
      </c>
    </row>
    <row r="126" spans="1:6">
      <c r="A126">
        <v>1986</v>
      </c>
      <c r="B126" t="s">
        <v>310</v>
      </c>
      <c r="C126" t="s">
        <v>55</v>
      </c>
      <c r="D126">
        <v>171</v>
      </c>
      <c r="E126">
        <f t="shared" si="7"/>
        <v>0</v>
      </c>
      <c r="F126">
        <v>1</v>
      </c>
    </row>
    <row r="127" spans="1:6">
      <c r="A127">
        <v>1987</v>
      </c>
      <c r="B127" t="s">
        <v>310</v>
      </c>
      <c r="C127" t="s">
        <v>55</v>
      </c>
      <c r="D127">
        <v>171</v>
      </c>
      <c r="E127">
        <f t="shared" si="7"/>
        <v>1</v>
      </c>
      <c r="F127">
        <v>1</v>
      </c>
    </row>
    <row r="128" spans="1:6">
      <c r="A128">
        <v>1988</v>
      </c>
      <c r="B128" t="s">
        <v>310</v>
      </c>
      <c r="C128" t="s">
        <v>55</v>
      </c>
      <c r="D128">
        <v>171</v>
      </c>
      <c r="E128">
        <f t="shared" si="7"/>
        <v>1</v>
      </c>
      <c r="F128">
        <v>1</v>
      </c>
    </row>
    <row r="129" spans="1:6">
      <c r="A129">
        <v>1989</v>
      </c>
      <c r="B129" t="s">
        <v>310</v>
      </c>
      <c r="C129" t="s">
        <v>299</v>
      </c>
      <c r="D129">
        <v>171</v>
      </c>
      <c r="E129">
        <f t="shared" si="7"/>
        <v>0</v>
      </c>
      <c r="F129">
        <v>1</v>
      </c>
    </row>
    <row r="130" spans="1:6">
      <c r="A130">
        <v>1990</v>
      </c>
      <c r="B130" t="s">
        <v>310</v>
      </c>
      <c r="C130" t="s">
        <v>299</v>
      </c>
      <c r="D130">
        <v>171</v>
      </c>
      <c r="E130">
        <f t="shared" si="7"/>
        <v>1</v>
      </c>
      <c r="F130">
        <v>1</v>
      </c>
    </row>
    <row r="131" spans="1:6">
      <c r="A131">
        <v>1983</v>
      </c>
      <c r="B131" t="s">
        <v>298</v>
      </c>
      <c r="C131" t="s">
        <v>301</v>
      </c>
      <c r="D131">
        <v>176</v>
      </c>
      <c r="E131">
        <f t="shared" si="7"/>
        <v>0</v>
      </c>
      <c r="F131">
        <v>1</v>
      </c>
    </row>
    <row r="132" spans="1:6">
      <c r="A132">
        <v>1984</v>
      </c>
      <c r="B132" t="s">
        <v>298</v>
      </c>
      <c r="C132" t="s">
        <v>301</v>
      </c>
      <c r="D132">
        <v>176</v>
      </c>
      <c r="E132">
        <f t="shared" ref="E132:E195" si="8">IF(AND(C132=C131,D132=D131,A132=A131+1),1,0)</f>
        <v>1</v>
      </c>
      <c r="F132">
        <v>1</v>
      </c>
    </row>
    <row r="133" spans="1:6">
      <c r="A133">
        <v>1985</v>
      </c>
      <c r="B133" t="s">
        <v>298</v>
      </c>
      <c r="C133" t="s">
        <v>301</v>
      </c>
      <c r="D133">
        <v>176</v>
      </c>
      <c r="E133">
        <f t="shared" si="8"/>
        <v>1</v>
      </c>
      <c r="F133">
        <v>1</v>
      </c>
    </row>
    <row r="134" spans="1:6">
      <c r="A134">
        <v>1986</v>
      </c>
      <c r="B134" t="s">
        <v>298</v>
      </c>
      <c r="C134" t="s">
        <v>301</v>
      </c>
      <c r="D134">
        <v>176</v>
      </c>
      <c r="E134">
        <f t="shared" si="8"/>
        <v>1</v>
      </c>
      <c r="F134">
        <v>1</v>
      </c>
    </row>
    <row r="135" spans="1:6">
      <c r="A135">
        <v>1987</v>
      </c>
      <c r="B135" t="s">
        <v>298</v>
      </c>
      <c r="C135" t="s">
        <v>301</v>
      </c>
      <c r="D135">
        <v>176</v>
      </c>
      <c r="E135">
        <f t="shared" si="8"/>
        <v>1</v>
      </c>
      <c r="F135">
        <v>1</v>
      </c>
    </row>
    <row r="136" spans="1:6">
      <c r="A136">
        <v>1988</v>
      </c>
      <c r="B136" t="s">
        <v>298</v>
      </c>
      <c r="C136" t="s">
        <v>301</v>
      </c>
      <c r="D136">
        <v>176</v>
      </c>
      <c r="E136">
        <f t="shared" si="8"/>
        <v>1</v>
      </c>
      <c r="F136">
        <v>1</v>
      </c>
    </row>
    <row r="137" spans="1:6">
      <c r="A137">
        <v>1989</v>
      </c>
      <c r="B137" t="s">
        <v>298</v>
      </c>
      <c r="C137" t="s">
        <v>301</v>
      </c>
      <c r="D137">
        <v>176</v>
      </c>
      <c r="E137">
        <f t="shared" si="8"/>
        <v>1</v>
      </c>
      <c r="F137">
        <v>1</v>
      </c>
    </row>
    <row r="138" spans="1:6">
      <c r="A138">
        <v>1990</v>
      </c>
      <c r="B138" t="s">
        <v>298</v>
      </c>
      <c r="C138" t="s">
        <v>301</v>
      </c>
      <c r="D138">
        <v>176</v>
      </c>
      <c r="E138">
        <f t="shared" si="8"/>
        <v>1</v>
      </c>
      <c r="F138">
        <v>1</v>
      </c>
    </row>
    <row r="139" spans="1:6">
      <c r="A139">
        <v>1991</v>
      </c>
      <c r="B139" t="s">
        <v>298</v>
      </c>
      <c r="C139" t="s">
        <v>301</v>
      </c>
      <c r="D139">
        <v>176</v>
      </c>
      <c r="E139">
        <f t="shared" si="8"/>
        <v>1</v>
      </c>
      <c r="F139">
        <v>1</v>
      </c>
    </row>
    <row r="140" spans="1:6">
      <c r="A140">
        <v>1983</v>
      </c>
      <c r="B140" t="s">
        <v>310</v>
      </c>
      <c r="C140" t="s">
        <v>55</v>
      </c>
      <c r="D140">
        <v>181</v>
      </c>
      <c r="E140">
        <f t="shared" si="8"/>
        <v>0</v>
      </c>
      <c r="F140">
        <v>1</v>
      </c>
    </row>
    <row r="141" spans="1:6">
      <c r="A141">
        <v>1984</v>
      </c>
      <c r="B141" t="s">
        <v>310</v>
      </c>
      <c r="C141" t="s">
        <v>55</v>
      </c>
      <c r="D141">
        <v>181</v>
      </c>
      <c r="E141">
        <f t="shared" si="8"/>
        <v>1</v>
      </c>
      <c r="F141">
        <v>1</v>
      </c>
    </row>
    <row r="142" spans="1:6">
      <c r="A142">
        <v>1985</v>
      </c>
      <c r="B142" t="s">
        <v>310</v>
      </c>
      <c r="C142" t="s">
        <v>55</v>
      </c>
      <c r="D142">
        <v>181</v>
      </c>
      <c r="E142">
        <f t="shared" si="8"/>
        <v>1</v>
      </c>
      <c r="F142">
        <v>1</v>
      </c>
    </row>
    <row r="143" spans="1:6">
      <c r="A143">
        <v>1986</v>
      </c>
      <c r="B143" t="s">
        <v>310</v>
      </c>
      <c r="C143" t="s">
        <v>55</v>
      </c>
      <c r="D143">
        <v>181</v>
      </c>
      <c r="E143">
        <f t="shared" si="8"/>
        <v>1</v>
      </c>
      <c r="F143">
        <v>1</v>
      </c>
    </row>
    <row r="144" spans="1:6">
      <c r="A144">
        <v>1987</v>
      </c>
      <c r="B144" t="s">
        <v>310</v>
      </c>
      <c r="C144" t="s">
        <v>311</v>
      </c>
      <c r="D144">
        <v>181</v>
      </c>
      <c r="E144">
        <f t="shared" si="8"/>
        <v>0</v>
      </c>
      <c r="F144">
        <v>1</v>
      </c>
    </row>
    <row r="145" spans="1:6">
      <c r="A145">
        <v>1988</v>
      </c>
      <c r="B145" t="s">
        <v>310</v>
      </c>
      <c r="C145" t="s">
        <v>301</v>
      </c>
      <c r="D145">
        <v>181</v>
      </c>
      <c r="E145">
        <f t="shared" si="8"/>
        <v>0</v>
      </c>
      <c r="F145">
        <v>1</v>
      </c>
    </row>
    <row r="146" spans="1:6">
      <c r="A146">
        <v>1989</v>
      </c>
      <c r="B146" t="s">
        <v>310</v>
      </c>
      <c r="C146" t="s">
        <v>301</v>
      </c>
      <c r="D146">
        <v>181</v>
      </c>
      <c r="E146">
        <f t="shared" si="8"/>
        <v>1</v>
      </c>
      <c r="F146">
        <v>1</v>
      </c>
    </row>
    <row r="147" spans="1:6">
      <c r="A147">
        <v>1990</v>
      </c>
      <c r="B147" t="s">
        <v>310</v>
      </c>
      <c r="C147" t="s">
        <v>301</v>
      </c>
      <c r="D147">
        <v>181</v>
      </c>
      <c r="E147">
        <f t="shared" si="8"/>
        <v>1</v>
      </c>
      <c r="F147">
        <v>1</v>
      </c>
    </row>
    <row r="148" spans="1:6">
      <c r="A148">
        <v>1983</v>
      </c>
      <c r="B148" t="s">
        <v>310</v>
      </c>
      <c r="C148" t="s">
        <v>325</v>
      </c>
      <c r="D148">
        <v>191</v>
      </c>
      <c r="E148">
        <f t="shared" si="8"/>
        <v>0</v>
      </c>
      <c r="F148">
        <v>1</v>
      </c>
    </row>
    <row r="149" spans="1:6">
      <c r="A149">
        <v>1984</v>
      </c>
      <c r="B149" t="s">
        <v>310</v>
      </c>
      <c r="C149" t="s">
        <v>299</v>
      </c>
      <c r="D149">
        <v>191</v>
      </c>
      <c r="E149">
        <f t="shared" si="8"/>
        <v>0</v>
      </c>
      <c r="F149">
        <v>1</v>
      </c>
    </row>
    <row r="150" spans="1:6">
      <c r="A150">
        <v>1985</v>
      </c>
      <c r="B150" t="s">
        <v>310</v>
      </c>
      <c r="C150" t="s">
        <v>299</v>
      </c>
      <c r="D150">
        <v>191</v>
      </c>
      <c r="E150">
        <f t="shared" si="8"/>
        <v>1</v>
      </c>
      <c r="F150">
        <v>1</v>
      </c>
    </row>
    <row r="151" spans="1:6">
      <c r="A151">
        <v>1986</v>
      </c>
      <c r="B151" t="s">
        <v>310</v>
      </c>
      <c r="C151" t="s">
        <v>299</v>
      </c>
      <c r="D151">
        <v>191</v>
      </c>
      <c r="E151">
        <f t="shared" si="8"/>
        <v>1</v>
      </c>
      <c r="F151">
        <v>1</v>
      </c>
    </row>
    <row r="152" spans="1:6">
      <c r="A152">
        <v>1987</v>
      </c>
      <c r="B152" t="s">
        <v>310</v>
      </c>
      <c r="C152" t="s">
        <v>299</v>
      </c>
      <c r="D152">
        <v>191</v>
      </c>
      <c r="E152">
        <f t="shared" si="8"/>
        <v>1</v>
      </c>
      <c r="F152">
        <v>1</v>
      </c>
    </row>
    <row r="153" spans="1:6">
      <c r="A153">
        <v>1988</v>
      </c>
      <c r="B153" t="s">
        <v>310</v>
      </c>
      <c r="C153" t="s">
        <v>299</v>
      </c>
      <c r="D153">
        <v>191</v>
      </c>
      <c r="E153">
        <f t="shared" si="8"/>
        <v>1</v>
      </c>
      <c r="F153">
        <v>1</v>
      </c>
    </row>
    <row r="154" spans="1:6">
      <c r="A154">
        <v>1989</v>
      </c>
      <c r="B154" t="s">
        <v>310</v>
      </c>
      <c r="C154" t="s">
        <v>43</v>
      </c>
      <c r="D154">
        <v>191</v>
      </c>
      <c r="E154">
        <f t="shared" si="8"/>
        <v>0</v>
      </c>
      <c r="F154">
        <v>1</v>
      </c>
    </row>
    <row r="155" spans="1:6">
      <c r="A155">
        <v>1989</v>
      </c>
      <c r="B155" t="s">
        <v>310</v>
      </c>
      <c r="C155" t="s">
        <v>43</v>
      </c>
      <c r="D155">
        <v>191</v>
      </c>
      <c r="E155">
        <f t="shared" si="8"/>
        <v>0</v>
      </c>
      <c r="F155">
        <v>1</v>
      </c>
    </row>
    <row r="156" spans="1:6">
      <c r="A156">
        <v>1990</v>
      </c>
      <c r="B156" t="s">
        <v>310</v>
      </c>
      <c r="C156" t="s">
        <v>43</v>
      </c>
      <c r="D156">
        <v>191</v>
      </c>
      <c r="E156">
        <f t="shared" si="8"/>
        <v>1</v>
      </c>
      <c r="F156">
        <v>1</v>
      </c>
    </row>
    <row r="157" spans="1:6">
      <c r="A157">
        <v>1991</v>
      </c>
      <c r="B157" t="s">
        <v>310</v>
      </c>
      <c r="C157" t="s">
        <v>43</v>
      </c>
      <c r="D157">
        <v>191</v>
      </c>
      <c r="E157">
        <f t="shared" si="8"/>
        <v>1</v>
      </c>
      <c r="F157">
        <v>1</v>
      </c>
    </row>
    <row r="158" spans="1:6">
      <c r="A158">
        <v>1983</v>
      </c>
      <c r="B158" t="s">
        <v>310</v>
      </c>
      <c r="C158" t="s">
        <v>314</v>
      </c>
      <c r="D158">
        <v>195</v>
      </c>
      <c r="E158">
        <f t="shared" si="8"/>
        <v>0</v>
      </c>
      <c r="F158">
        <v>1</v>
      </c>
    </row>
    <row r="159" spans="1:6">
      <c r="A159">
        <v>1984</v>
      </c>
      <c r="B159" t="s">
        <v>310</v>
      </c>
      <c r="C159" t="s">
        <v>314</v>
      </c>
      <c r="D159">
        <v>195</v>
      </c>
      <c r="E159">
        <f t="shared" si="8"/>
        <v>1</v>
      </c>
      <c r="F159">
        <v>1</v>
      </c>
    </row>
    <row r="160" spans="1:6">
      <c r="A160">
        <v>1985</v>
      </c>
      <c r="B160" t="s">
        <v>310</v>
      </c>
      <c r="C160" t="s">
        <v>314</v>
      </c>
      <c r="D160">
        <v>195</v>
      </c>
      <c r="E160">
        <f t="shared" si="8"/>
        <v>1</v>
      </c>
      <c r="F160">
        <v>1</v>
      </c>
    </row>
    <row r="161" spans="1:6">
      <c r="A161">
        <v>1986</v>
      </c>
      <c r="B161" t="s">
        <v>310</v>
      </c>
      <c r="C161" t="s">
        <v>314</v>
      </c>
      <c r="D161">
        <v>195</v>
      </c>
      <c r="E161">
        <f t="shared" si="8"/>
        <v>1</v>
      </c>
      <c r="F161">
        <v>1</v>
      </c>
    </row>
    <row r="162" spans="1:6">
      <c r="A162">
        <v>1987</v>
      </c>
      <c r="B162" t="s">
        <v>310</v>
      </c>
      <c r="C162" t="s">
        <v>314</v>
      </c>
      <c r="D162">
        <v>195</v>
      </c>
      <c r="E162">
        <f t="shared" si="8"/>
        <v>1</v>
      </c>
      <c r="F162">
        <v>1</v>
      </c>
    </row>
    <row r="163" spans="1:6">
      <c r="A163">
        <v>1988</v>
      </c>
      <c r="B163" t="s">
        <v>310</v>
      </c>
      <c r="C163" t="s">
        <v>314</v>
      </c>
      <c r="D163">
        <v>195</v>
      </c>
      <c r="E163">
        <f t="shared" si="8"/>
        <v>1</v>
      </c>
      <c r="F163">
        <v>1</v>
      </c>
    </row>
    <row r="164" spans="1:6">
      <c r="A164">
        <v>1989</v>
      </c>
      <c r="B164" t="s">
        <v>310</v>
      </c>
      <c r="C164" t="s">
        <v>314</v>
      </c>
      <c r="D164">
        <v>195</v>
      </c>
      <c r="E164">
        <f t="shared" si="8"/>
        <v>1</v>
      </c>
      <c r="F164">
        <v>1</v>
      </c>
    </row>
    <row r="165" spans="1:6">
      <c r="A165">
        <v>1985</v>
      </c>
      <c r="B165" t="s">
        <v>310</v>
      </c>
      <c r="C165" t="s">
        <v>301</v>
      </c>
      <c r="D165">
        <v>201</v>
      </c>
      <c r="E165">
        <f t="shared" si="8"/>
        <v>0</v>
      </c>
      <c r="F165">
        <v>1</v>
      </c>
    </row>
    <row r="166" spans="1:6">
      <c r="A166">
        <v>1986</v>
      </c>
      <c r="B166" t="s">
        <v>310</v>
      </c>
      <c r="C166" t="s">
        <v>301</v>
      </c>
      <c r="D166">
        <v>201</v>
      </c>
      <c r="E166">
        <f t="shared" si="8"/>
        <v>1</v>
      </c>
      <c r="F166">
        <v>1</v>
      </c>
    </row>
    <row r="167" spans="1:6">
      <c r="A167">
        <v>1987</v>
      </c>
      <c r="B167" t="s">
        <v>310</v>
      </c>
      <c r="C167" t="s">
        <v>301</v>
      </c>
      <c r="D167">
        <v>201</v>
      </c>
      <c r="E167">
        <f t="shared" si="8"/>
        <v>1</v>
      </c>
      <c r="F167">
        <v>1</v>
      </c>
    </row>
    <row r="168" spans="1:6">
      <c r="A168">
        <v>1988</v>
      </c>
      <c r="B168" t="s">
        <v>310</v>
      </c>
      <c r="C168" t="s">
        <v>301</v>
      </c>
      <c r="D168">
        <v>201</v>
      </c>
      <c r="E168">
        <f t="shared" si="8"/>
        <v>1</v>
      </c>
      <c r="F168">
        <v>1</v>
      </c>
    </row>
    <row r="169" spans="1:6">
      <c r="A169">
        <v>1989</v>
      </c>
      <c r="B169" t="s">
        <v>310</v>
      </c>
      <c r="C169" t="s">
        <v>301</v>
      </c>
      <c r="D169">
        <v>201</v>
      </c>
      <c r="E169">
        <f t="shared" si="8"/>
        <v>1</v>
      </c>
      <c r="F169">
        <v>1</v>
      </c>
    </row>
    <row r="170" spans="1:6">
      <c r="A170">
        <v>1990</v>
      </c>
      <c r="B170" t="s">
        <v>310</v>
      </c>
      <c r="C170" t="s">
        <v>301</v>
      </c>
      <c r="D170">
        <v>201</v>
      </c>
      <c r="E170">
        <f t="shared" si="8"/>
        <v>1</v>
      </c>
      <c r="F170">
        <v>1</v>
      </c>
    </row>
    <row r="171" spans="1:6">
      <c r="A171">
        <v>1983</v>
      </c>
      <c r="B171" t="s">
        <v>310</v>
      </c>
      <c r="C171" t="s">
        <v>301</v>
      </c>
      <c r="D171">
        <v>241</v>
      </c>
      <c r="E171">
        <f t="shared" si="8"/>
        <v>0</v>
      </c>
      <c r="F171">
        <v>1</v>
      </c>
    </row>
    <row r="172" spans="1:6">
      <c r="A172">
        <v>1984</v>
      </c>
      <c r="B172" t="s">
        <v>310</v>
      </c>
      <c r="C172" t="s">
        <v>55</v>
      </c>
      <c r="D172">
        <v>241</v>
      </c>
      <c r="E172">
        <f t="shared" si="8"/>
        <v>0</v>
      </c>
      <c r="F172">
        <v>1</v>
      </c>
    </row>
    <row r="173" spans="1:6">
      <c r="A173">
        <v>1985</v>
      </c>
      <c r="B173" t="s">
        <v>310</v>
      </c>
      <c r="C173" t="s">
        <v>301</v>
      </c>
      <c r="D173">
        <v>241</v>
      </c>
      <c r="E173">
        <f t="shared" si="8"/>
        <v>0</v>
      </c>
      <c r="F173">
        <v>1</v>
      </c>
    </row>
    <row r="174" spans="1:6">
      <c r="A174">
        <v>1986</v>
      </c>
      <c r="B174" t="s">
        <v>310</v>
      </c>
      <c r="C174" t="s">
        <v>301</v>
      </c>
      <c r="D174">
        <v>241</v>
      </c>
      <c r="E174">
        <f t="shared" si="8"/>
        <v>1</v>
      </c>
      <c r="F174">
        <v>1</v>
      </c>
    </row>
    <row r="175" spans="1:6">
      <c r="A175">
        <v>1987</v>
      </c>
      <c r="B175" t="s">
        <v>310</v>
      </c>
      <c r="C175" t="s">
        <v>301</v>
      </c>
      <c r="D175">
        <v>241</v>
      </c>
      <c r="E175">
        <f t="shared" si="8"/>
        <v>1</v>
      </c>
      <c r="F175">
        <v>1</v>
      </c>
    </row>
    <row r="176" spans="1:6">
      <c r="A176">
        <v>1988</v>
      </c>
      <c r="B176" t="s">
        <v>310</v>
      </c>
      <c r="C176" t="s">
        <v>301</v>
      </c>
      <c r="D176">
        <v>241</v>
      </c>
      <c r="E176">
        <f t="shared" si="8"/>
        <v>1</v>
      </c>
      <c r="F176">
        <v>1</v>
      </c>
    </row>
    <row r="177" spans="1:6">
      <c r="A177">
        <v>1989</v>
      </c>
      <c r="B177" t="s">
        <v>310</v>
      </c>
      <c r="C177" t="s">
        <v>301</v>
      </c>
      <c r="D177">
        <v>241</v>
      </c>
      <c r="E177">
        <f t="shared" si="8"/>
        <v>1</v>
      </c>
      <c r="F177">
        <v>1</v>
      </c>
    </row>
    <row r="178" spans="1:6">
      <c r="A178">
        <v>1990</v>
      </c>
      <c r="B178" t="s">
        <v>310</v>
      </c>
      <c r="C178" t="s">
        <v>301</v>
      </c>
      <c r="D178">
        <v>241</v>
      </c>
      <c r="E178">
        <f t="shared" si="8"/>
        <v>1</v>
      </c>
      <c r="F178">
        <v>1</v>
      </c>
    </row>
    <row r="179" spans="1:6">
      <c r="A179">
        <v>1983</v>
      </c>
      <c r="B179" t="s">
        <v>310</v>
      </c>
      <c r="C179" t="s">
        <v>317</v>
      </c>
      <c r="D179">
        <v>255</v>
      </c>
      <c r="E179">
        <f t="shared" si="8"/>
        <v>0</v>
      </c>
      <c r="F179">
        <v>1</v>
      </c>
    </row>
    <row r="180" spans="1:6">
      <c r="A180">
        <v>1984</v>
      </c>
      <c r="B180" t="s">
        <v>310</v>
      </c>
      <c r="C180" t="s">
        <v>317</v>
      </c>
      <c r="D180">
        <v>255</v>
      </c>
      <c r="E180">
        <f t="shared" si="8"/>
        <v>1</v>
      </c>
      <c r="F180">
        <v>1</v>
      </c>
    </row>
    <row r="181" spans="1:6">
      <c r="A181">
        <v>1985</v>
      </c>
      <c r="B181" t="s">
        <v>310</v>
      </c>
      <c r="C181" t="s">
        <v>301</v>
      </c>
      <c r="D181">
        <v>255</v>
      </c>
      <c r="E181">
        <f t="shared" si="8"/>
        <v>0</v>
      </c>
      <c r="F181">
        <v>1</v>
      </c>
    </row>
    <row r="182" spans="1:6">
      <c r="A182">
        <v>1986</v>
      </c>
      <c r="B182" t="s">
        <v>310</v>
      </c>
      <c r="C182" t="s">
        <v>301</v>
      </c>
      <c r="D182">
        <v>255</v>
      </c>
      <c r="E182">
        <f t="shared" si="8"/>
        <v>1</v>
      </c>
      <c r="F182">
        <v>1</v>
      </c>
    </row>
    <row r="183" spans="1:6">
      <c r="A183">
        <v>1987</v>
      </c>
      <c r="B183" t="s">
        <v>310</v>
      </c>
      <c r="C183" t="s">
        <v>301</v>
      </c>
      <c r="D183">
        <v>255</v>
      </c>
      <c r="E183">
        <f t="shared" si="8"/>
        <v>1</v>
      </c>
      <c r="F183">
        <v>1</v>
      </c>
    </row>
    <row r="184" spans="1:6">
      <c r="A184">
        <v>1988</v>
      </c>
      <c r="B184" t="s">
        <v>310</v>
      </c>
      <c r="C184" t="s">
        <v>301</v>
      </c>
      <c r="D184">
        <v>255</v>
      </c>
      <c r="E184">
        <f t="shared" si="8"/>
        <v>1</v>
      </c>
      <c r="F184">
        <v>1</v>
      </c>
    </row>
    <row r="185" spans="1:6">
      <c r="A185">
        <v>1989</v>
      </c>
      <c r="B185" t="s">
        <v>310</v>
      </c>
      <c r="C185" t="s">
        <v>301</v>
      </c>
      <c r="D185">
        <v>255</v>
      </c>
      <c r="E185">
        <f t="shared" si="8"/>
        <v>1</v>
      </c>
      <c r="F185">
        <v>1</v>
      </c>
    </row>
    <row r="186" spans="1:6">
      <c r="A186">
        <v>1983</v>
      </c>
      <c r="B186" t="s">
        <v>310</v>
      </c>
      <c r="C186" t="s">
        <v>319</v>
      </c>
      <c r="D186">
        <v>275</v>
      </c>
      <c r="E186">
        <f t="shared" si="8"/>
        <v>0</v>
      </c>
      <c r="F186">
        <v>1</v>
      </c>
    </row>
    <row r="187" spans="1:6">
      <c r="A187">
        <v>1984</v>
      </c>
      <c r="B187" t="s">
        <v>310</v>
      </c>
      <c r="C187" t="s">
        <v>319</v>
      </c>
      <c r="D187">
        <v>275</v>
      </c>
      <c r="E187">
        <f t="shared" si="8"/>
        <v>1</v>
      </c>
      <c r="F187">
        <v>1</v>
      </c>
    </row>
    <row r="188" spans="1:6">
      <c r="A188">
        <v>1985</v>
      </c>
      <c r="B188" t="s">
        <v>310</v>
      </c>
      <c r="C188" t="s">
        <v>319</v>
      </c>
      <c r="D188">
        <v>275</v>
      </c>
      <c r="E188">
        <f t="shared" si="8"/>
        <v>1</v>
      </c>
      <c r="F188">
        <v>1</v>
      </c>
    </row>
    <row r="189" spans="1:6">
      <c r="A189">
        <v>1986</v>
      </c>
      <c r="B189" t="s">
        <v>310</v>
      </c>
      <c r="C189" t="s">
        <v>322</v>
      </c>
      <c r="D189">
        <v>275</v>
      </c>
      <c r="E189">
        <f t="shared" si="8"/>
        <v>0</v>
      </c>
      <c r="F189">
        <v>1</v>
      </c>
    </row>
    <row r="190" spans="1:6">
      <c r="A190">
        <v>1987</v>
      </c>
      <c r="B190" t="s">
        <v>310</v>
      </c>
      <c r="C190" t="s">
        <v>322</v>
      </c>
      <c r="D190">
        <v>275</v>
      </c>
      <c r="E190">
        <f t="shared" si="8"/>
        <v>1</v>
      </c>
      <c r="F190">
        <v>1</v>
      </c>
    </row>
    <row r="191" spans="1:6">
      <c r="A191">
        <v>1988</v>
      </c>
      <c r="B191" t="s">
        <v>310</v>
      </c>
      <c r="C191" t="s">
        <v>322</v>
      </c>
      <c r="D191">
        <v>275</v>
      </c>
      <c r="E191">
        <f t="shared" si="8"/>
        <v>1</v>
      </c>
      <c r="F191">
        <v>1</v>
      </c>
    </row>
    <row r="192" spans="1:6">
      <c r="A192">
        <v>1989</v>
      </c>
      <c r="B192" t="s">
        <v>310</v>
      </c>
      <c r="C192" t="s">
        <v>322</v>
      </c>
      <c r="D192">
        <v>275</v>
      </c>
      <c r="E192">
        <f t="shared" si="8"/>
        <v>1</v>
      </c>
      <c r="F192">
        <v>1</v>
      </c>
    </row>
    <row r="193" spans="1:6">
      <c r="A193">
        <v>1990</v>
      </c>
      <c r="B193" t="s">
        <v>310</v>
      </c>
      <c r="C193" t="s">
        <v>322</v>
      </c>
      <c r="D193">
        <v>275</v>
      </c>
      <c r="E193">
        <f t="shared" si="8"/>
        <v>1</v>
      </c>
      <c r="F193">
        <v>1</v>
      </c>
    </row>
    <row r="194" spans="1:6">
      <c r="A194">
        <v>1983</v>
      </c>
      <c r="B194" t="s">
        <v>310</v>
      </c>
      <c r="C194" t="s">
        <v>313</v>
      </c>
      <c r="D194">
        <v>281</v>
      </c>
      <c r="E194">
        <f t="shared" si="8"/>
        <v>0</v>
      </c>
      <c r="F194">
        <v>1</v>
      </c>
    </row>
    <row r="195" spans="1:6">
      <c r="A195">
        <v>1984</v>
      </c>
      <c r="B195" t="s">
        <v>310</v>
      </c>
      <c r="C195" t="s">
        <v>311</v>
      </c>
      <c r="D195">
        <v>281</v>
      </c>
      <c r="E195">
        <f t="shared" si="8"/>
        <v>0</v>
      </c>
      <c r="F195">
        <v>1</v>
      </c>
    </row>
    <row r="196" spans="1:6">
      <c r="A196">
        <v>1985</v>
      </c>
      <c r="B196" t="s">
        <v>310</v>
      </c>
      <c r="C196" t="s">
        <v>311</v>
      </c>
      <c r="D196">
        <v>281</v>
      </c>
      <c r="E196">
        <f t="shared" ref="E196:E259" si="9">IF(AND(C196=C195,D196=D195,A196=A195+1),1,0)</f>
        <v>1</v>
      </c>
      <c r="F196">
        <v>1</v>
      </c>
    </row>
    <row r="197" spans="1:6">
      <c r="A197">
        <v>1986</v>
      </c>
      <c r="B197" t="s">
        <v>310</v>
      </c>
      <c r="C197" t="s">
        <v>311</v>
      </c>
      <c r="D197">
        <v>281</v>
      </c>
      <c r="E197">
        <f t="shared" si="9"/>
        <v>1</v>
      </c>
      <c r="F197">
        <v>1</v>
      </c>
    </row>
    <row r="198" spans="1:6">
      <c r="A198">
        <v>1987</v>
      </c>
      <c r="B198" t="s">
        <v>310</v>
      </c>
      <c r="C198" t="s">
        <v>311</v>
      </c>
      <c r="D198">
        <v>281</v>
      </c>
      <c r="E198">
        <f t="shared" si="9"/>
        <v>1</v>
      </c>
      <c r="F198">
        <v>1</v>
      </c>
    </row>
    <row r="199" spans="1:6">
      <c r="A199">
        <v>1988</v>
      </c>
      <c r="B199" t="s">
        <v>310</v>
      </c>
      <c r="C199" t="s">
        <v>311</v>
      </c>
      <c r="D199">
        <v>281</v>
      </c>
      <c r="E199">
        <f t="shared" si="9"/>
        <v>1</v>
      </c>
      <c r="F199">
        <v>1</v>
      </c>
    </row>
    <row r="200" spans="1:6">
      <c r="A200">
        <v>1989</v>
      </c>
      <c r="B200" t="s">
        <v>310</v>
      </c>
      <c r="C200" t="s">
        <v>311</v>
      </c>
      <c r="D200">
        <v>281</v>
      </c>
      <c r="E200">
        <f t="shared" si="9"/>
        <v>1</v>
      </c>
      <c r="F200">
        <v>1</v>
      </c>
    </row>
    <row r="201" spans="1:6">
      <c r="A201">
        <v>1990</v>
      </c>
      <c r="B201" t="s">
        <v>310</v>
      </c>
      <c r="C201" t="s">
        <v>301</v>
      </c>
      <c r="D201">
        <v>281</v>
      </c>
      <c r="E201">
        <f t="shared" si="9"/>
        <v>0</v>
      </c>
      <c r="F201">
        <v>1</v>
      </c>
    </row>
    <row r="202" spans="1:6">
      <c r="A202">
        <v>1983</v>
      </c>
      <c r="B202" t="s">
        <v>298</v>
      </c>
      <c r="C202" t="s">
        <v>299</v>
      </c>
      <c r="D202">
        <v>291</v>
      </c>
      <c r="E202">
        <f t="shared" si="9"/>
        <v>0</v>
      </c>
      <c r="F202">
        <v>1</v>
      </c>
    </row>
    <row r="203" spans="1:6">
      <c r="A203">
        <v>1984</v>
      </c>
      <c r="B203" t="s">
        <v>298</v>
      </c>
      <c r="C203" t="s">
        <v>301</v>
      </c>
      <c r="D203">
        <v>291</v>
      </c>
      <c r="E203">
        <f t="shared" si="9"/>
        <v>0</v>
      </c>
      <c r="F203">
        <v>1</v>
      </c>
    </row>
    <row r="204" spans="1:6">
      <c r="A204">
        <v>1985</v>
      </c>
      <c r="B204" t="s">
        <v>298</v>
      </c>
      <c r="C204" t="s">
        <v>301</v>
      </c>
      <c r="D204">
        <v>291</v>
      </c>
      <c r="E204">
        <f t="shared" si="9"/>
        <v>1</v>
      </c>
      <c r="F204">
        <v>1</v>
      </c>
    </row>
    <row r="205" spans="1:6">
      <c r="A205">
        <v>1986</v>
      </c>
      <c r="B205" t="s">
        <v>298</v>
      </c>
      <c r="C205" t="s">
        <v>301</v>
      </c>
      <c r="D205">
        <v>291</v>
      </c>
      <c r="E205">
        <f t="shared" si="9"/>
        <v>1</v>
      </c>
      <c r="F205">
        <v>1</v>
      </c>
    </row>
    <row r="206" spans="1:6">
      <c r="A206">
        <v>1987</v>
      </c>
      <c r="B206" t="s">
        <v>298</v>
      </c>
      <c r="C206" t="s">
        <v>301</v>
      </c>
      <c r="D206">
        <v>291</v>
      </c>
      <c r="E206">
        <f t="shared" si="9"/>
        <v>1</v>
      </c>
      <c r="F206">
        <v>1</v>
      </c>
    </row>
    <row r="207" spans="1:6">
      <c r="A207">
        <v>1988</v>
      </c>
      <c r="B207" t="s">
        <v>298</v>
      </c>
      <c r="C207" t="s">
        <v>301</v>
      </c>
      <c r="D207">
        <v>291</v>
      </c>
      <c r="E207">
        <f t="shared" si="9"/>
        <v>1</v>
      </c>
      <c r="F207">
        <v>1</v>
      </c>
    </row>
    <row r="208" spans="1:6">
      <c r="A208">
        <v>1989</v>
      </c>
      <c r="B208" t="s">
        <v>298</v>
      </c>
      <c r="C208" t="s">
        <v>301</v>
      </c>
      <c r="D208">
        <v>291</v>
      </c>
      <c r="E208">
        <f t="shared" si="9"/>
        <v>1</v>
      </c>
      <c r="F208">
        <v>1</v>
      </c>
    </row>
    <row r="209" spans="1:6">
      <c r="A209">
        <v>1990</v>
      </c>
      <c r="B209" t="s">
        <v>298</v>
      </c>
      <c r="C209" t="s">
        <v>301</v>
      </c>
      <c r="D209">
        <v>291</v>
      </c>
      <c r="E209">
        <f t="shared" si="9"/>
        <v>1</v>
      </c>
      <c r="F209">
        <v>1</v>
      </c>
    </row>
    <row r="210" spans="1:6">
      <c r="A210">
        <v>1991</v>
      </c>
      <c r="B210" t="s">
        <v>298</v>
      </c>
      <c r="C210" t="s">
        <v>301</v>
      </c>
      <c r="D210">
        <v>291</v>
      </c>
      <c r="E210">
        <f t="shared" si="9"/>
        <v>1</v>
      </c>
      <c r="F210">
        <v>1</v>
      </c>
    </row>
    <row r="211" spans="1:6">
      <c r="A211">
        <v>1983</v>
      </c>
      <c r="B211" t="s">
        <v>310</v>
      </c>
      <c r="C211" t="s">
        <v>312</v>
      </c>
      <c r="D211">
        <v>335</v>
      </c>
      <c r="E211">
        <f t="shared" si="9"/>
        <v>0</v>
      </c>
      <c r="F211">
        <v>1</v>
      </c>
    </row>
    <row r="212" spans="1:6">
      <c r="A212">
        <v>1984</v>
      </c>
      <c r="B212" t="s">
        <v>310</v>
      </c>
      <c r="C212" t="s">
        <v>312</v>
      </c>
      <c r="D212">
        <v>335</v>
      </c>
      <c r="E212">
        <f t="shared" si="9"/>
        <v>1</v>
      </c>
      <c r="F212">
        <v>1</v>
      </c>
    </row>
    <row r="213" spans="1:6">
      <c r="A213">
        <v>1985</v>
      </c>
      <c r="B213" t="s">
        <v>310</v>
      </c>
      <c r="C213" t="s">
        <v>312</v>
      </c>
      <c r="D213">
        <v>335</v>
      </c>
      <c r="E213">
        <f t="shared" si="9"/>
        <v>1</v>
      </c>
      <c r="F213">
        <v>1</v>
      </c>
    </row>
    <row r="214" spans="1:6">
      <c r="A214">
        <v>1986</v>
      </c>
      <c r="B214" t="s">
        <v>310</v>
      </c>
      <c r="C214" t="s">
        <v>312</v>
      </c>
      <c r="D214">
        <v>335</v>
      </c>
      <c r="E214">
        <f t="shared" si="9"/>
        <v>1</v>
      </c>
      <c r="F214">
        <v>1</v>
      </c>
    </row>
    <row r="215" spans="1:6">
      <c r="A215">
        <v>1987</v>
      </c>
      <c r="B215" t="s">
        <v>310</v>
      </c>
      <c r="C215" t="s">
        <v>312</v>
      </c>
      <c r="D215">
        <v>335</v>
      </c>
      <c r="E215">
        <f t="shared" si="9"/>
        <v>1</v>
      </c>
      <c r="F215">
        <v>1</v>
      </c>
    </row>
    <row r="216" spans="1:6">
      <c r="A216">
        <v>1988</v>
      </c>
      <c r="B216" t="s">
        <v>310</v>
      </c>
      <c r="C216" t="s">
        <v>299</v>
      </c>
      <c r="D216">
        <v>335</v>
      </c>
      <c r="E216">
        <f t="shared" si="9"/>
        <v>0</v>
      </c>
      <c r="F216">
        <v>1</v>
      </c>
    </row>
    <row r="217" spans="1:6">
      <c r="A217">
        <v>1989</v>
      </c>
      <c r="B217" t="s">
        <v>310</v>
      </c>
      <c r="C217" t="s">
        <v>299</v>
      </c>
      <c r="D217">
        <v>335</v>
      </c>
      <c r="E217">
        <f t="shared" si="9"/>
        <v>1</v>
      </c>
      <c r="F217">
        <v>1</v>
      </c>
    </row>
    <row r="218" spans="1:6">
      <c r="A218">
        <v>1990</v>
      </c>
      <c r="B218" t="s">
        <v>310</v>
      </c>
      <c r="C218" t="s">
        <v>299</v>
      </c>
      <c r="D218">
        <v>335</v>
      </c>
      <c r="E218">
        <f t="shared" si="9"/>
        <v>1</v>
      </c>
      <c r="F218">
        <v>1</v>
      </c>
    </row>
    <row r="219" spans="1:6">
      <c r="A219">
        <v>1991</v>
      </c>
      <c r="B219" t="s">
        <v>310</v>
      </c>
      <c r="C219" t="s">
        <v>299</v>
      </c>
      <c r="D219">
        <v>335</v>
      </c>
      <c r="E219">
        <f t="shared" si="9"/>
        <v>1</v>
      </c>
      <c r="F219">
        <v>1</v>
      </c>
    </row>
    <row r="220" spans="1:6">
      <c r="A220">
        <v>1983</v>
      </c>
      <c r="B220" t="s">
        <v>310</v>
      </c>
      <c r="C220" t="s">
        <v>314</v>
      </c>
      <c r="D220">
        <v>341</v>
      </c>
      <c r="E220">
        <f t="shared" si="9"/>
        <v>0</v>
      </c>
      <c r="F220">
        <v>1</v>
      </c>
    </row>
    <row r="221" spans="1:6">
      <c r="A221">
        <v>1984</v>
      </c>
      <c r="B221" t="s">
        <v>310</v>
      </c>
      <c r="C221" t="s">
        <v>314</v>
      </c>
      <c r="D221">
        <v>341</v>
      </c>
      <c r="E221">
        <f t="shared" si="9"/>
        <v>1</v>
      </c>
      <c r="F221">
        <v>1</v>
      </c>
    </row>
    <row r="222" spans="1:6">
      <c r="A222">
        <v>1985</v>
      </c>
      <c r="B222" t="s">
        <v>310</v>
      </c>
      <c r="C222" t="s">
        <v>314</v>
      </c>
      <c r="D222">
        <v>341</v>
      </c>
      <c r="E222">
        <f t="shared" si="9"/>
        <v>1</v>
      </c>
      <c r="F222">
        <v>1</v>
      </c>
    </row>
    <row r="223" spans="1:6">
      <c r="A223">
        <v>1986</v>
      </c>
      <c r="B223" t="s">
        <v>310</v>
      </c>
      <c r="C223" t="s">
        <v>314</v>
      </c>
      <c r="D223">
        <v>341</v>
      </c>
      <c r="E223">
        <f t="shared" si="9"/>
        <v>1</v>
      </c>
      <c r="F223">
        <v>1</v>
      </c>
    </row>
    <row r="224" spans="1:6">
      <c r="A224">
        <v>1987</v>
      </c>
      <c r="B224" t="s">
        <v>310</v>
      </c>
      <c r="C224" t="s">
        <v>314</v>
      </c>
      <c r="D224">
        <v>341</v>
      </c>
      <c r="E224">
        <f t="shared" si="9"/>
        <v>1</v>
      </c>
      <c r="F224">
        <v>1</v>
      </c>
    </row>
    <row r="225" spans="1:6">
      <c r="A225">
        <v>1988</v>
      </c>
      <c r="B225" t="s">
        <v>310</v>
      </c>
      <c r="C225" t="s">
        <v>314</v>
      </c>
      <c r="D225">
        <v>341</v>
      </c>
      <c r="E225">
        <f t="shared" si="9"/>
        <v>1</v>
      </c>
      <c r="F225">
        <v>1</v>
      </c>
    </row>
    <row r="226" spans="1:6">
      <c r="A226">
        <v>1989</v>
      </c>
      <c r="B226" t="s">
        <v>310</v>
      </c>
      <c r="C226" t="s">
        <v>314</v>
      </c>
      <c r="D226">
        <v>341</v>
      </c>
      <c r="E226">
        <f t="shared" si="9"/>
        <v>1</v>
      </c>
      <c r="F226">
        <v>1</v>
      </c>
    </row>
    <row r="227" spans="1:6">
      <c r="A227">
        <v>1990</v>
      </c>
      <c r="B227" t="s">
        <v>310</v>
      </c>
      <c r="C227" t="s">
        <v>314</v>
      </c>
      <c r="D227">
        <v>341</v>
      </c>
      <c r="E227">
        <f t="shared" si="9"/>
        <v>1</v>
      </c>
      <c r="F227">
        <v>1</v>
      </c>
    </row>
    <row r="228" spans="1:6">
      <c r="A228">
        <v>1991</v>
      </c>
      <c r="B228" t="s">
        <v>310</v>
      </c>
      <c r="C228" t="s">
        <v>55</v>
      </c>
      <c r="D228">
        <v>341</v>
      </c>
      <c r="E228">
        <f t="shared" si="9"/>
        <v>0</v>
      </c>
      <c r="F228">
        <v>1</v>
      </c>
    </row>
    <row r="229" spans="1:6">
      <c r="A229">
        <v>1983</v>
      </c>
      <c r="B229" t="s">
        <v>298</v>
      </c>
      <c r="C229" t="s">
        <v>299</v>
      </c>
      <c r="D229">
        <v>354</v>
      </c>
      <c r="E229">
        <f t="shared" si="9"/>
        <v>0</v>
      </c>
      <c r="F229">
        <v>1</v>
      </c>
    </row>
    <row r="230" spans="1:6">
      <c r="A230">
        <v>1984</v>
      </c>
      <c r="B230" t="s">
        <v>298</v>
      </c>
      <c r="C230" t="s">
        <v>299</v>
      </c>
      <c r="D230">
        <v>354</v>
      </c>
      <c r="E230">
        <f t="shared" si="9"/>
        <v>1</v>
      </c>
      <c r="F230">
        <v>1</v>
      </c>
    </row>
    <row r="231" spans="1:6">
      <c r="A231">
        <v>1985</v>
      </c>
      <c r="B231" t="s">
        <v>298</v>
      </c>
      <c r="C231" t="s">
        <v>299</v>
      </c>
      <c r="D231">
        <v>354</v>
      </c>
      <c r="E231">
        <f t="shared" si="9"/>
        <v>1</v>
      </c>
      <c r="F231">
        <v>1</v>
      </c>
    </row>
    <row r="232" spans="1:6">
      <c r="A232">
        <v>1986</v>
      </c>
      <c r="B232" t="s">
        <v>298</v>
      </c>
      <c r="C232" t="s">
        <v>299</v>
      </c>
      <c r="D232">
        <v>354</v>
      </c>
      <c r="E232">
        <f t="shared" si="9"/>
        <v>1</v>
      </c>
      <c r="F232">
        <v>1</v>
      </c>
    </row>
    <row r="233" spans="1:6">
      <c r="A233">
        <v>1987</v>
      </c>
      <c r="B233" t="s">
        <v>298</v>
      </c>
      <c r="C233" t="s">
        <v>299</v>
      </c>
      <c r="D233">
        <v>354</v>
      </c>
      <c r="E233">
        <f t="shared" si="9"/>
        <v>1</v>
      </c>
      <c r="F233">
        <v>1</v>
      </c>
    </row>
    <row r="234" spans="1:6">
      <c r="A234">
        <v>1988</v>
      </c>
      <c r="B234" t="s">
        <v>298</v>
      </c>
      <c r="C234" t="s">
        <v>299</v>
      </c>
      <c r="D234">
        <v>354</v>
      </c>
      <c r="E234">
        <f t="shared" si="9"/>
        <v>1</v>
      </c>
      <c r="F234">
        <v>1</v>
      </c>
    </row>
    <row r="235" spans="1:6">
      <c r="A235">
        <v>1989</v>
      </c>
      <c r="B235" t="s">
        <v>298</v>
      </c>
      <c r="C235" t="s">
        <v>299</v>
      </c>
      <c r="D235">
        <v>354</v>
      </c>
      <c r="E235">
        <f t="shared" si="9"/>
        <v>1</v>
      </c>
      <c r="F235">
        <v>1</v>
      </c>
    </row>
    <row r="236" spans="1:6">
      <c r="A236">
        <v>1990</v>
      </c>
      <c r="B236" t="s">
        <v>298</v>
      </c>
      <c r="C236" t="s">
        <v>299</v>
      </c>
      <c r="D236">
        <v>354</v>
      </c>
      <c r="E236">
        <f t="shared" si="9"/>
        <v>1</v>
      </c>
      <c r="F236">
        <v>1</v>
      </c>
    </row>
    <row r="237" spans="1:6">
      <c r="A237">
        <v>1991</v>
      </c>
      <c r="B237" t="s">
        <v>298</v>
      </c>
      <c r="C237" t="s">
        <v>299</v>
      </c>
      <c r="D237">
        <v>354</v>
      </c>
      <c r="E237">
        <f t="shared" si="9"/>
        <v>1</v>
      </c>
      <c r="F237">
        <v>1</v>
      </c>
    </row>
    <row r="238" spans="1:6">
      <c r="A238">
        <v>1983</v>
      </c>
      <c r="B238" t="s">
        <v>310</v>
      </c>
      <c r="C238" t="s">
        <v>311</v>
      </c>
      <c r="D238">
        <v>365</v>
      </c>
      <c r="E238">
        <f t="shared" si="9"/>
        <v>0</v>
      </c>
      <c r="F238">
        <v>1</v>
      </c>
    </row>
    <row r="239" spans="1:6">
      <c r="A239">
        <v>1984</v>
      </c>
      <c r="B239" t="s">
        <v>310</v>
      </c>
      <c r="C239" t="s">
        <v>311</v>
      </c>
      <c r="D239">
        <v>365</v>
      </c>
      <c r="E239">
        <f t="shared" si="9"/>
        <v>1</v>
      </c>
      <c r="F239">
        <v>1</v>
      </c>
    </row>
    <row r="240" spans="1:6">
      <c r="A240">
        <v>1985</v>
      </c>
      <c r="B240" t="s">
        <v>310</v>
      </c>
      <c r="C240" t="s">
        <v>311</v>
      </c>
      <c r="D240">
        <v>365</v>
      </c>
      <c r="E240">
        <f t="shared" si="9"/>
        <v>1</v>
      </c>
      <c r="F240">
        <v>1</v>
      </c>
    </row>
    <row r="241" spans="1:6">
      <c r="A241">
        <v>1986</v>
      </c>
      <c r="B241" t="s">
        <v>310</v>
      </c>
      <c r="C241" t="s">
        <v>55</v>
      </c>
      <c r="D241">
        <v>365</v>
      </c>
      <c r="E241">
        <f t="shared" si="9"/>
        <v>0</v>
      </c>
      <c r="F241">
        <v>1</v>
      </c>
    </row>
    <row r="242" spans="1:6">
      <c r="A242">
        <v>1987</v>
      </c>
      <c r="B242" t="s">
        <v>310</v>
      </c>
      <c r="C242" t="s">
        <v>55</v>
      </c>
      <c r="D242">
        <v>365</v>
      </c>
      <c r="E242">
        <f t="shared" si="9"/>
        <v>1</v>
      </c>
      <c r="F242">
        <v>1</v>
      </c>
    </row>
    <row r="243" spans="1:6">
      <c r="A243">
        <v>1988</v>
      </c>
      <c r="B243" t="s">
        <v>310</v>
      </c>
      <c r="C243" t="s">
        <v>55</v>
      </c>
      <c r="D243">
        <v>365</v>
      </c>
      <c r="E243">
        <f t="shared" si="9"/>
        <v>1</v>
      </c>
      <c r="F243">
        <v>1</v>
      </c>
    </row>
    <row r="244" spans="1:6">
      <c r="A244">
        <v>1989</v>
      </c>
      <c r="B244" t="s">
        <v>310</v>
      </c>
      <c r="C244" t="s">
        <v>55</v>
      </c>
      <c r="D244">
        <v>365</v>
      </c>
      <c r="E244">
        <f t="shared" si="9"/>
        <v>1</v>
      </c>
      <c r="F244">
        <v>1</v>
      </c>
    </row>
    <row r="245" spans="1:6">
      <c r="A245">
        <v>1990</v>
      </c>
      <c r="B245" t="s">
        <v>310</v>
      </c>
      <c r="C245" t="s">
        <v>55</v>
      </c>
      <c r="D245">
        <v>365</v>
      </c>
      <c r="E245">
        <f t="shared" si="9"/>
        <v>1</v>
      </c>
      <c r="F245">
        <v>1</v>
      </c>
    </row>
    <row r="246" spans="1:6">
      <c r="A246">
        <v>1983</v>
      </c>
      <c r="B246" t="s">
        <v>310</v>
      </c>
      <c r="C246" t="s">
        <v>314</v>
      </c>
      <c r="D246">
        <v>375</v>
      </c>
      <c r="E246">
        <f t="shared" si="9"/>
        <v>0</v>
      </c>
      <c r="F246">
        <v>1</v>
      </c>
    </row>
    <row r="247" spans="1:6">
      <c r="A247">
        <v>1983</v>
      </c>
      <c r="B247" t="s">
        <v>310</v>
      </c>
      <c r="C247" t="s">
        <v>314</v>
      </c>
      <c r="D247">
        <v>375</v>
      </c>
      <c r="E247">
        <f t="shared" si="9"/>
        <v>0</v>
      </c>
      <c r="F247">
        <v>1</v>
      </c>
    </row>
    <row r="248" spans="1:6">
      <c r="A248">
        <v>1984</v>
      </c>
      <c r="B248" t="s">
        <v>310</v>
      </c>
      <c r="C248" t="s">
        <v>314</v>
      </c>
      <c r="D248">
        <v>375</v>
      </c>
      <c r="E248">
        <f t="shared" si="9"/>
        <v>1</v>
      </c>
      <c r="F248">
        <v>1</v>
      </c>
    </row>
    <row r="249" spans="1:6">
      <c r="A249">
        <v>1985</v>
      </c>
      <c r="B249" t="s">
        <v>310</v>
      </c>
      <c r="C249" t="s">
        <v>314</v>
      </c>
      <c r="D249">
        <v>375</v>
      </c>
      <c r="E249">
        <f t="shared" si="9"/>
        <v>1</v>
      </c>
      <c r="F249">
        <v>1</v>
      </c>
    </row>
    <row r="250" spans="1:6">
      <c r="A250">
        <v>1986</v>
      </c>
      <c r="B250" t="s">
        <v>310</v>
      </c>
      <c r="C250" t="s">
        <v>314</v>
      </c>
      <c r="D250">
        <v>375</v>
      </c>
      <c r="E250">
        <f t="shared" si="9"/>
        <v>1</v>
      </c>
      <c r="F250">
        <v>1</v>
      </c>
    </row>
    <row r="251" spans="1:6">
      <c r="A251">
        <v>1987</v>
      </c>
      <c r="B251" t="s">
        <v>310</v>
      </c>
      <c r="C251" t="s">
        <v>299</v>
      </c>
      <c r="D251">
        <v>375</v>
      </c>
      <c r="E251">
        <f t="shared" si="9"/>
        <v>0</v>
      </c>
      <c r="F251">
        <v>1</v>
      </c>
    </row>
    <row r="252" spans="1:6">
      <c r="A252">
        <v>1988</v>
      </c>
      <c r="B252" t="s">
        <v>310</v>
      </c>
      <c r="C252" t="s">
        <v>314</v>
      </c>
      <c r="D252">
        <v>375</v>
      </c>
      <c r="E252">
        <f t="shared" si="9"/>
        <v>0</v>
      </c>
      <c r="F252">
        <v>1</v>
      </c>
    </row>
    <row r="253" spans="1:6">
      <c r="A253">
        <v>1989</v>
      </c>
      <c r="B253" t="s">
        <v>310</v>
      </c>
      <c r="C253" t="s">
        <v>314</v>
      </c>
      <c r="D253">
        <v>375</v>
      </c>
      <c r="E253">
        <f t="shared" si="9"/>
        <v>1</v>
      </c>
      <c r="F253">
        <v>1</v>
      </c>
    </row>
    <row r="254" spans="1:6">
      <c r="A254">
        <v>1990</v>
      </c>
      <c r="B254" t="s">
        <v>310</v>
      </c>
      <c r="C254" t="s">
        <v>314</v>
      </c>
      <c r="D254">
        <v>375</v>
      </c>
      <c r="E254">
        <f t="shared" si="9"/>
        <v>1</v>
      </c>
      <c r="F254">
        <v>1</v>
      </c>
    </row>
    <row r="255" spans="1:6">
      <c r="A255">
        <v>1991</v>
      </c>
      <c r="B255" t="s">
        <v>310</v>
      </c>
      <c r="C255" t="s">
        <v>314</v>
      </c>
      <c r="D255">
        <v>375</v>
      </c>
      <c r="E255">
        <f t="shared" si="9"/>
        <v>1</v>
      </c>
      <c r="F255">
        <v>1</v>
      </c>
    </row>
    <row r="256" spans="1:6">
      <c r="A256">
        <v>1984</v>
      </c>
      <c r="B256" t="s">
        <v>310</v>
      </c>
      <c r="C256" t="s">
        <v>312</v>
      </c>
      <c r="D256">
        <v>391</v>
      </c>
      <c r="E256">
        <f t="shared" si="9"/>
        <v>0</v>
      </c>
      <c r="F256">
        <v>1</v>
      </c>
    </row>
    <row r="257" spans="1:6">
      <c r="A257">
        <v>1986</v>
      </c>
      <c r="B257" t="s">
        <v>310</v>
      </c>
      <c r="C257" t="s">
        <v>312</v>
      </c>
      <c r="D257">
        <v>391</v>
      </c>
      <c r="E257">
        <f t="shared" si="9"/>
        <v>0</v>
      </c>
      <c r="F257">
        <v>1</v>
      </c>
    </row>
    <row r="258" spans="1:6">
      <c r="A258">
        <v>1987</v>
      </c>
      <c r="B258" t="s">
        <v>310</v>
      </c>
      <c r="C258" t="s">
        <v>312</v>
      </c>
      <c r="D258">
        <v>391</v>
      </c>
      <c r="E258">
        <f t="shared" si="9"/>
        <v>1</v>
      </c>
      <c r="F258">
        <v>1</v>
      </c>
    </row>
    <row r="259" spans="1:6">
      <c r="A259">
        <v>1988</v>
      </c>
      <c r="B259" t="s">
        <v>310</v>
      </c>
      <c r="C259" t="s">
        <v>312</v>
      </c>
      <c r="D259">
        <v>391</v>
      </c>
      <c r="E259">
        <f t="shared" si="9"/>
        <v>1</v>
      </c>
      <c r="F259">
        <v>1</v>
      </c>
    </row>
    <row r="260" spans="1:6">
      <c r="A260">
        <v>1989</v>
      </c>
      <c r="B260" t="s">
        <v>310</v>
      </c>
      <c r="C260" t="s">
        <v>299</v>
      </c>
      <c r="D260">
        <v>391</v>
      </c>
      <c r="E260">
        <f t="shared" ref="E260:E323" si="10">IF(AND(C260=C259,D260=D259,A260=A259+1),1,0)</f>
        <v>0</v>
      </c>
      <c r="F260">
        <v>1</v>
      </c>
    </row>
    <row r="261" spans="1:6">
      <c r="A261">
        <v>1990</v>
      </c>
      <c r="B261" t="s">
        <v>310</v>
      </c>
      <c r="C261" t="s">
        <v>299</v>
      </c>
      <c r="D261">
        <v>391</v>
      </c>
      <c r="E261">
        <f t="shared" si="10"/>
        <v>1</v>
      </c>
      <c r="F261">
        <v>1</v>
      </c>
    </row>
    <row r="262" spans="1:6">
      <c r="A262">
        <v>1983</v>
      </c>
      <c r="B262" t="s">
        <v>310</v>
      </c>
      <c r="C262" t="s">
        <v>314</v>
      </c>
      <c r="D262">
        <v>393</v>
      </c>
      <c r="E262">
        <f t="shared" si="10"/>
        <v>0</v>
      </c>
      <c r="F262">
        <v>1</v>
      </c>
    </row>
    <row r="263" spans="1:6">
      <c r="A263">
        <v>1984</v>
      </c>
      <c r="B263" t="s">
        <v>310</v>
      </c>
      <c r="C263" t="s">
        <v>312</v>
      </c>
      <c r="D263">
        <v>393</v>
      </c>
      <c r="E263">
        <f t="shared" si="10"/>
        <v>0</v>
      </c>
      <c r="F263">
        <v>1</v>
      </c>
    </row>
    <row r="264" spans="1:6">
      <c r="A264">
        <v>1985</v>
      </c>
      <c r="B264" t="s">
        <v>310</v>
      </c>
      <c r="C264" t="s">
        <v>312</v>
      </c>
      <c r="D264">
        <v>393</v>
      </c>
      <c r="E264">
        <f t="shared" si="10"/>
        <v>1</v>
      </c>
      <c r="F264">
        <v>1</v>
      </c>
    </row>
    <row r="265" spans="1:6">
      <c r="A265">
        <v>1986</v>
      </c>
      <c r="B265" t="s">
        <v>310</v>
      </c>
      <c r="C265" t="s">
        <v>312</v>
      </c>
      <c r="D265">
        <v>393</v>
      </c>
      <c r="E265">
        <f t="shared" si="10"/>
        <v>1</v>
      </c>
      <c r="F265">
        <v>1</v>
      </c>
    </row>
    <row r="266" spans="1:6">
      <c r="A266">
        <v>1987</v>
      </c>
      <c r="B266" t="s">
        <v>310</v>
      </c>
      <c r="C266" t="s">
        <v>312</v>
      </c>
      <c r="D266">
        <v>393</v>
      </c>
      <c r="E266">
        <f t="shared" si="10"/>
        <v>1</v>
      </c>
      <c r="F266">
        <v>1</v>
      </c>
    </row>
    <row r="267" spans="1:6">
      <c r="A267">
        <v>1988</v>
      </c>
      <c r="B267" t="s">
        <v>310</v>
      </c>
      <c r="C267" t="s">
        <v>312</v>
      </c>
      <c r="D267">
        <v>393</v>
      </c>
      <c r="E267">
        <f t="shared" si="10"/>
        <v>1</v>
      </c>
      <c r="F267">
        <v>1</v>
      </c>
    </row>
    <row r="268" spans="1:6">
      <c r="A268">
        <v>1989</v>
      </c>
      <c r="B268" t="s">
        <v>310</v>
      </c>
      <c r="C268" t="s">
        <v>299</v>
      </c>
      <c r="D268">
        <v>393</v>
      </c>
      <c r="E268">
        <f t="shared" si="10"/>
        <v>0</v>
      </c>
      <c r="F268">
        <v>1</v>
      </c>
    </row>
    <row r="269" spans="1:6">
      <c r="A269">
        <v>1985</v>
      </c>
      <c r="B269" t="s">
        <v>310</v>
      </c>
      <c r="C269" t="s">
        <v>299</v>
      </c>
      <c r="D269">
        <v>435</v>
      </c>
      <c r="E269">
        <f t="shared" si="10"/>
        <v>0</v>
      </c>
      <c r="F269">
        <v>1</v>
      </c>
    </row>
    <row r="270" spans="1:6">
      <c r="A270">
        <v>1986</v>
      </c>
      <c r="B270" t="s">
        <v>310</v>
      </c>
      <c r="C270" t="s">
        <v>324</v>
      </c>
      <c r="D270">
        <v>435</v>
      </c>
      <c r="E270">
        <f t="shared" si="10"/>
        <v>0</v>
      </c>
      <c r="F270">
        <v>1</v>
      </c>
    </row>
    <row r="271" spans="1:6">
      <c r="A271">
        <v>1987</v>
      </c>
      <c r="B271" t="s">
        <v>310</v>
      </c>
      <c r="C271" t="s">
        <v>321</v>
      </c>
      <c r="D271">
        <v>435</v>
      </c>
      <c r="E271">
        <f t="shared" si="10"/>
        <v>0</v>
      </c>
      <c r="F271">
        <v>1</v>
      </c>
    </row>
    <row r="272" spans="1:6">
      <c r="A272">
        <v>1988</v>
      </c>
      <c r="B272" t="s">
        <v>310</v>
      </c>
      <c r="C272" t="s">
        <v>299</v>
      </c>
      <c r="D272">
        <v>435</v>
      </c>
      <c r="E272">
        <f t="shared" si="10"/>
        <v>0</v>
      </c>
      <c r="F272">
        <v>1</v>
      </c>
    </row>
    <row r="273" spans="1:6">
      <c r="A273">
        <v>1989</v>
      </c>
      <c r="B273" t="s">
        <v>310</v>
      </c>
      <c r="C273" t="s">
        <v>299</v>
      </c>
      <c r="D273">
        <v>435</v>
      </c>
      <c r="E273">
        <f t="shared" si="10"/>
        <v>1</v>
      </c>
      <c r="F273">
        <v>1</v>
      </c>
    </row>
    <row r="274" spans="1:6">
      <c r="A274">
        <v>1990</v>
      </c>
      <c r="B274" t="s">
        <v>310</v>
      </c>
      <c r="C274" t="s">
        <v>299</v>
      </c>
      <c r="D274">
        <v>435</v>
      </c>
      <c r="E274">
        <f t="shared" si="10"/>
        <v>1</v>
      </c>
      <c r="F274">
        <v>1</v>
      </c>
    </row>
    <row r="275" spans="1:6">
      <c r="A275">
        <v>1983</v>
      </c>
      <c r="B275" t="s">
        <v>310</v>
      </c>
      <c r="C275" t="s">
        <v>320</v>
      </c>
      <c r="D275">
        <v>441</v>
      </c>
      <c r="E275">
        <f t="shared" si="10"/>
        <v>0</v>
      </c>
      <c r="F275">
        <v>1</v>
      </c>
    </row>
    <row r="276" spans="1:6">
      <c r="A276">
        <v>1984</v>
      </c>
      <c r="B276" t="s">
        <v>310</v>
      </c>
      <c r="C276" t="s">
        <v>312</v>
      </c>
      <c r="D276">
        <v>441</v>
      </c>
      <c r="E276">
        <f t="shared" si="10"/>
        <v>0</v>
      </c>
      <c r="F276">
        <v>1</v>
      </c>
    </row>
    <row r="277" spans="1:6">
      <c r="A277">
        <v>1985</v>
      </c>
      <c r="B277" t="s">
        <v>310</v>
      </c>
      <c r="C277" t="s">
        <v>311</v>
      </c>
      <c r="D277">
        <v>441</v>
      </c>
      <c r="E277">
        <f t="shared" si="10"/>
        <v>0</v>
      </c>
      <c r="F277">
        <v>1</v>
      </c>
    </row>
    <row r="278" spans="1:6">
      <c r="A278">
        <v>1986</v>
      </c>
      <c r="B278" t="s">
        <v>310</v>
      </c>
      <c r="C278" t="s">
        <v>312</v>
      </c>
      <c r="D278">
        <v>441</v>
      </c>
      <c r="E278">
        <f t="shared" si="10"/>
        <v>0</v>
      </c>
      <c r="F278">
        <v>1</v>
      </c>
    </row>
    <row r="279" spans="1:6">
      <c r="A279">
        <v>1987</v>
      </c>
      <c r="B279" t="s">
        <v>310</v>
      </c>
      <c r="C279" t="s">
        <v>314</v>
      </c>
      <c r="D279">
        <v>441</v>
      </c>
      <c r="E279">
        <f t="shared" si="10"/>
        <v>0</v>
      </c>
      <c r="F279">
        <v>1</v>
      </c>
    </row>
    <row r="280" spans="1:6">
      <c r="A280">
        <v>1988</v>
      </c>
      <c r="B280" t="s">
        <v>310</v>
      </c>
      <c r="C280" t="s">
        <v>311</v>
      </c>
      <c r="D280">
        <v>441</v>
      </c>
      <c r="E280">
        <f t="shared" si="10"/>
        <v>0</v>
      </c>
      <c r="F280">
        <v>1</v>
      </c>
    </row>
    <row r="281" spans="1:6">
      <c r="A281">
        <v>1989</v>
      </c>
      <c r="B281" t="s">
        <v>310</v>
      </c>
      <c r="C281" t="s">
        <v>55</v>
      </c>
      <c r="D281">
        <v>441</v>
      </c>
      <c r="E281">
        <f t="shared" si="10"/>
        <v>0</v>
      </c>
      <c r="F281">
        <v>1</v>
      </c>
    </row>
    <row r="282" spans="1:6">
      <c r="A282">
        <v>1990</v>
      </c>
      <c r="B282" t="s">
        <v>310</v>
      </c>
      <c r="C282" t="s">
        <v>55</v>
      </c>
      <c r="D282">
        <v>441</v>
      </c>
      <c r="E282">
        <f t="shared" si="10"/>
        <v>1</v>
      </c>
      <c r="F282">
        <v>1</v>
      </c>
    </row>
    <row r="283" spans="1:6">
      <c r="A283">
        <v>1986</v>
      </c>
      <c r="B283" t="s">
        <v>310</v>
      </c>
      <c r="C283" t="s">
        <v>318</v>
      </c>
      <c r="D283">
        <v>451</v>
      </c>
      <c r="E283">
        <f t="shared" si="10"/>
        <v>0</v>
      </c>
      <c r="F283">
        <v>1</v>
      </c>
    </row>
    <row r="284" spans="1:6">
      <c r="A284">
        <v>1987</v>
      </c>
      <c r="B284" t="s">
        <v>310</v>
      </c>
      <c r="C284" t="s">
        <v>318</v>
      </c>
      <c r="D284">
        <v>451</v>
      </c>
      <c r="E284">
        <f t="shared" si="10"/>
        <v>1</v>
      </c>
      <c r="F284">
        <v>1</v>
      </c>
    </row>
    <row r="285" spans="1:6">
      <c r="A285">
        <v>1988</v>
      </c>
      <c r="B285" t="s">
        <v>310</v>
      </c>
      <c r="C285" t="s">
        <v>314</v>
      </c>
      <c r="D285">
        <v>451</v>
      </c>
      <c r="E285">
        <f t="shared" si="10"/>
        <v>0</v>
      </c>
      <c r="F285">
        <v>1</v>
      </c>
    </row>
    <row r="286" spans="1:6">
      <c r="A286">
        <v>1989</v>
      </c>
      <c r="B286" t="s">
        <v>310</v>
      </c>
      <c r="C286" t="s">
        <v>314</v>
      </c>
      <c r="D286">
        <v>451</v>
      </c>
      <c r="E286">
        <f t="shared" si="10"/>
        <v>1</v>
      </c>
      <c r="F286">
        <v>1</v>
      </c>
    </row>
    <row r="287" spans="1:6">
      <c r="A287">
        <v>1990</v>
      </c>
      <c r="B287" t="s">
        <v>310</v>
      </c>
      <c r="C287" t="s">
        <v>318</v>
      </c>
      <c r="D287">
        <v>451</v>
      </c>
      <c r="E287">
        <f t="shared" si="10"/>
        <v>0</v>
      </c>
      <c r="F287">
        <v>1</v>
      </c>
    </row>
    <row r="288" spans="1:6">
      <c r="A288">
        <v>1983</v>
      </c>
      <c r="B288" t="s">
        <v>298</v>
      </c>
      <c r="C288" t="s">
        <v>301</v>
      </c>
      <c r="D288">
        <v>452</v>
      </c>
      <c r="E288">
        <f t="shared" si="10"/>
        <v>0</v>
      </c>
      <c r="F288">
        <v>1</v>
      </c>
    </row>
    <row r="289" spans="1:6">
      <c r="A289">
        <v>1983</v>
      </c>
      <c r="B289" t="s">
        <v>298</v>
      </c>
      <c r="C289" t="s">
        <v>301</v>
      </c>
      <c r="D289">
        <v>452</v>
      </c>
      <c r="E289">
        <f t="shared" si="10"/>
        <v>0</v>
      </c>
      <c r="F289">
        <v>1</v>
      </c>
    </row>
    <row r="290" spans="1:6">
      <c r="A290">
        <v>1984</v>
      </c>
      <c r="B290" t="s">
        <v>298</v>
      </c>
      <c r="C290" t="s">
        <v>301</v>
      </c>
      <c r="D290">
        <v>452</v>
      </c>
      <c r="E290">
        <f t="shared" si="10"/>
        <v>1</v>
      </c>
      <c r="F290">
        <v>1</v>
      </c>
    </row>
    <row r="291" spans="1:6">
      <c r="A291">
        <v>1985</v>
      </c>
      <c r="B291" t="s">
        <v>298</v>
      </c>
      <c r="C291" t="s">
        <v>301</v>
      </c>
      <c r="D291">
        <v>452</v>
      </c>
      <c r="E291">
        <f t="shared" si="10"/>
        <v>1</v>
      </c>
      <c r="F291">
        <v>1</v>
      </c>
    </row>
    <row r="292" spans="1:6">
      <c r="A292">
        <v>1986</v>
      </c>
      <c r="B292" t="s">
        <v>298</v>
      </c>
      <c r="C292" t="s">
        <v>301</v>
      </c>
      <c r="D292">
        <v>452</v>
      </c>
      <c r="E292">
        <f t="shared" si="10"/>
        <v>1</v>
      </c>
      <c r="F292">
        <v>1</v>
      </c>
    </row>
    <row r="293" spans="1:6">
      <c r="A293">
        <v>1987</v>
      </c>
      <c r="B293" t="s">
        <v>298</v>
      </c>
      <c r="C293" t="s">
        <v>301</v>
      </c>
      <c r="D293">
        <v>452</v>
      </c>
      <c r="E293">
        <f t="shared" si="10"/>
        <v>1</v>
      </c>
      <c r="F293">
        <v>1</v>
      </c>
    </row>
    <row r="294" spans="1:6">
      <c r="A294">
        <v>1988</v>
      </c>
      <c r="B294" t="s">
        <v>298</v>
      </c>
      <c r="C294" t="s">
        <v>301</v>
      </c>
      <c r="D294">
        <v>452</v>
      </c>
      <c r="E294">
        <f t="shared" si="10"/>
        <v>1</v>
      </c>
      <c r="F294">
        <v>1</v>
      </c>
    </row>
    <row r="295" spans="1:6">
      <c r="A295">
        <v>1989</v>
      </c>
      <c r="B295" t="s">
        <v>298</v>
      </c>
      <c r="C295" t="s">
        <v>301</v>
      </c>
      <c r="D295">
        <v>452</v>
      </c>
      <c r="E295">
        <f t="shared" si="10"/>
        <v>1</v>
      </c>
      <c r="F295">
        <v>1</v>
      </c>
    </row>
    <row r="296" spans="1:6">
      <c r="A296">
        <v>1990</v>
      </c>
      <c r="B296" t="s">
        <v>298</v>
      </c>
      <c r="C296" t="s">
        <v>301</v>
      </c>
      <c r="D296">
        <v>452</v>
      </c>
      <c r="E296">
        <f t="shared" si="10"/>
        <v>1</v>
      </c>
      <c r="F296">
        <v>1</v>
      </c>
    </row>
    <row r="297" spans="1:6">
      <c r="A297">
        <v>1991</v>
      </c>
      <c r="B297" t="s">
        <v>298</v>
      </c>
      <c r="C297" t="s">
        <v>301</v>
      </c>
      <c r="D297">
        <v>452</v>
      </c>
      <c r="E297">
        <f t="shared" si="10"/>
        <v>1</v>
      </c>
      <c r="F297">
        <v>1</v>
      </c>
    </row>
    <row r="298" spans="1:6">
      <c r="A298">
        <v>1983</v>
      </c>
      <c r="B298" t="s">
        <v>310</v>
      </c>
      <c r="C298" t="s">
        <v>312</v>
      </c>
      <c r="D298">
        <v>455</v>
      </c>
      <c r="E298">
        <f t="shared" si="10"/>
        <v>0</v>
      </c>
      <c r="F298">
        <v>1</v>
      </c>
    </row>
    <row r="299" spans="1:6">
      <c r="A299">
        <v>1985</v>
      </c>
      <c r="B299" t="s">
        <v>310</v>
      </c>
      <c r="C299" t="s">
        <v>311</v>
      </c>
      <c r="D299">
        <v>455</v>
      </c>
      <c r="E299">
        <f t="shared" si="10"/>
        <v>0</v>
      </c>
      <c r="F299">
        <v>1</v>
      </c>
    </row>
    <row r="300" spans="1:6">
      <c r="A300">
        <v>1986</v>
      </c>
      <c r="B300" t="s">
        <v>310</v>
      </c>
      <c r="C300" t="s">
        <v>311</v>
      </c>
      <c r="D300">
        <v>455</v>
      </c>
      <c r="E300">
        <f t="shared" si="10"/>
        <v>1</v>
      </c>
      <c r="F300">
        <v>1</v>
      </c>
    </row>
    <row r="301" spans="1:6">
      <c r="A301">
        <v>1987</v>
      </c>
      <c r="B301" t="s">
        <v>310</v>
      </c>
      <c r="C301" t="s">
        <v>311</v>
      </c>
      <c r="D301">
        <v>455</v>
      </c>
      <c r="E301">
        <f t="shared" si="10"/>
        <v>1</v>
      </c>
      <c r="F301">
        <v>1</v>
      </c>
    </row>
    <row r="302" spans="1:6">
      <c r="A302">
        <v>1988</v>
      </c>
      <c r="B302" t="s">
        <v>310</v>
      </c>
      <c r="C302" t="s">
        <v>311</v>
      </c>
      <c r="D302">
        <v>455</v>
      </c>
      <c r="E302">
        <f t="shared" si="10"/>
        <v>1</v>
      </c>
      <c r="F302">
        <v>1</v>
      </c>
    </row>
    <row r="303" spans="1:6">
      <c r="A303">
        <v>1989</v>
      </c>
      <c r="B303" t="s">
        <v>310</v>
      </c>
      <c r="C303" t="s">
        <v>311</v>
      </c>
      <c r="D303">
        <v>455</v>
      </c>
      <c r="E303">
        <f t="shared" si="10"/>
        <v>1</v>
      </c>
      <c r="F303">
        <v>1</v>
      </c>
    </row>
    <row r="304" spans="1:6">
      <c r="A304">
        <v>1990</v>
      </c>
      <c r="B304" t="s">
        <v>310</v>
      </c>
      <c r="C304" t="s">
        <v>299</v>
      </c>
      <c r="D304">
        <v>455</v>
      </c>
      <c r="E304">
        <f t="shared" si="10"/>
        <v>0</v>
      </c>
      <c r="F304">
        <v>1</v>
      </c>
    </row>
    <row r="305" spans="1:6">
      <c r="A305">
        <v>1986</v>
      </c>
      <c r="B305" t="s">
        <v>310</v>
      </c>
      <c r="C305" t="s">
        <v>318</v>
      </c>
      <c r="D305">
        <v>465</v>
      </c>
      <c r="E305">
        <f t="shared" si="10"/>
        <v>0</v>
      </c>
      <c r="F305">
        <v>1</v>
      </c>
    </row>
    <row r="306" spans="1:6">
      <c r="A306">
        <v>1987</v>
      </c>
      <c r="B306" t="s">
        <v>310</v>
      </c>
      <c r="C306" t="s">
        <v>322</v>
      </c>
      <c r="D306">
        <v>465</v>
      </c>
      <c r="E306">
        <f t="shared" si="10"/>
        <v>0</v>
      </c>
      <c r="F306">
        <v>1</v>
      </c>
    </row>
    <row r="307" spans="1:6">
      <c r="A307">
        <v>1988</v>
      </c>
      <c r="B307" t="s">
        <v>310</v>
      </c>
      <c r="C307" t="s">
        <v>322</v>
      </c>
      <c r="D307">
        <v>465</v>
      </c>
      <c r="E307">
        <f t="shared" si="10"/>
        <v>1</v>
      </c>
      <c r="F307">
        <v>1</v>
      </c>
    </row>
    <row r="308" spans="1:6">
      <c r="A308">
        <v>1989</v>
      </c>
      <c r="B308" t="s">
        <v>310</v>
      </c>
      <c r="C308" t="s">
        <v>322</v>
      </c>
      <c r="D308">
        <v>465</v>
      </c>
      <c r="E308">
        <f t="shared" si="10"/>
        <v>1</v>
      </c>
      <c r="F308">
        <v>1</v>
      </c>
    </row>
    <row r="309" spans="1:6">
      <c r="A309">
        <v>1990</v>
      </c>
      <c r="B309" t="s">
        <v>310</v>
      </c>
      <c r="C309" t="s">
        <v>322</v>
      </c>
      <c r="D309">
        <v>465</v>
      </c>
      <c r="E309">
        <f t="shared" si="10"/>
        <v>1</v>
      </c>
      <c r="F309">
        <v>1</v>
      </c>
    </row>
    <row r="310" spans="1:6">
      <c r="A310">
        <v>1983</v>
      </c>
      <c r="B310" t="s">
        <v>310</v>
      </c>
      <c r="C310" t="s">
        <v>314</v>
      </c>
      <c r="D310">
        <v>471</v>
      </c>
      <c r="E310">
        <f t="shared" si="10"/>
        <v>0</v>
      </c>
      <c r="F310">
        <v>1</v>
      </c>
    </row>
    <row r="311" spans="1:6">
      <c r="A311">
        <v>1984</v>
      </c>
      <c r="B311" t="s">
        <v>310</v>
      </c>
      <c r="C311" t="s">
        <v>299</v>
      </c>
      <c r="D311">
        <v>471</v>
      </c>
      <c r="E311">
        <f t="shared" si="10"/>
        <v>0</v>
      </c>
      <c r="F311">
        <v>1</v>
      </c>
    </row>
    <row r="312" spans="1:6">
      <c r="A312">
        <v>1985</v>
      </c>
      <c r="B312" t="s">
        <v>310</v>
      </c>
      <c r="C312" t="s">
        <v>301</v>
      </c>
      <c r="D312">
        <v>471</v>
      </c>
      <c r="E312">
        <f t="shared" si="10"/>
        <v>0</v>
      </c>
      <c r="F312">
        <v>1</v>
      </c>
    </row>
    <row r="313" spans="1:6">
      <c r="A313">
        <v>1986</v>
      </c>
      <c r="B313" t="s">
        <v>310</v>
      </c>
      <c r="C313" t="s">
        <v>301</v>
      </c>
      <c r="D313">
        <v>471</v>
      </c>
      <c r="E313">
        <f t="shared" si="10"/>
        <v>1</v>
      </c>
      <c r="F313">
        <v>1</v>
      </c>
    </row>
    <row r="314" spans="1:6">
      <c r="A314">
        <v>1987</v>
      </c>
      <c r="B314" t="s">
        <v>310</v>
      </c>
      <c r="C314" t="s">
        <v>301</v>
      </c>
      <c r="D314">
        <v>471</v>
      </c>
      <c r="E314">
        <f t="shared" si="10"/>
        <v>1</v>
      </c>
      <c r="F314">
        <v>1</v>
      </c>
    </row>
    <row r="315" spans="1:6">
      <c r="A315">
        <v>1988</v>
      </c>
      <c r="B315" t="s">
        <v>310</v>
      </c>
      <c r="C315" t="s">
        <v>301</v>
      </c>
      <c r="D315">
        <v>471</v>
      </c>
      <c r="E315">
        <f t="shared" si="10"/>
        <v>1</v>
      </c>
      <c r="F315">
        <v>1</v>
      </c>
    </row>
    <row r="316" spans="1:6">
      <c r="A316">
        <v>1989</v>
      </c>
      <c r="B316" t="s">
        <v>310</v>
      </c>
      <c r="C316" t="s">
        <v>314</v>
      </c>
      <c r="D316">
        <v>471</v>
      </c>
      <c r="E316">
        <f t="shared" si="10"/>
        <v>0</v>
      </c>
      <c r="F316">
        <v>1</v>
      </c>
    </row>
    <row r="317" spans="1:6">
      <c r="A317">
        <v>1990</v>
      </c>
      <c r="B317" t="s">
        <v>310</v>
      </c>
      <c r="C317" t="s">
        <v>301</v>
      </c>
      <c r="D317">
        <v>471</v>
      </c>
      <c r="E317">
        <f t="shared" si="10"/>
        <v>0</v>
      </c>
      <c r="F317">
        <v>1</v>
      </c>
    </row>
    <row r="318" spans="1:6">
      <c r="A318">
        <v>1983</v>
      </c>
      <c r="B318" t="s">
        <v>310</v>
      </c>
      <c r="C318" t="s">
        <v>311</v>
      </c>
      <c r="D318">
        <v>478</v>
      </c>
      <c r="E318">
        <f t="shared" si="10"/>
        <v>0</v>
      </c>
      <c r="F318">
        <v>1</v>
      </c>
    </row>
    <row r="319" spans="1:6">
      <c r="A319">
        <v>1984</v>
      </c>
      <c r="B319" t="s">
        <v>310</v>
      </c>
      <c r="C319" t="s">
        <v>311</v>
      </c>
      <c r="D319">
        <v>478</v>
      </c>
      <c r="E319">
        <f t="shared" si="10"/>
        <v>1</v>
      </c>
      <c r="F319">
        <v>1</v>
      </c>
    </row>
    <row r="320" spans="1:6">
      <c r="A320">
        <v>1985</v>
      </c>
      <c r="B320" t="s">
        <v>310</v>
      </c>
      <c r="C320" t="s">
        <v>311</v>
      </c>
      <c r="D320">
        <v>478</v>
      </c>
      <c r="E320">
        <f t="shared" si="10"/>
        <v>1</v>
      </c>
      <c r="F320">
        <v>1</v>
      </c>
    </row>
    <row r="321" spans="1:6">
      <c r="A321">
        <v>1986</v>
      </c>
      <c r="B321" t="s">
        <v>310</v>
      </c>
      <c r="C321" t="s">
        <v>311</v>
      </c>
      <c r="D321">
        <v>478</v>
      </c>
      <c r="E321">
        <f t="shared" si="10"/>
        <v>1</v>
      </c>
      <c r="F321">
        <v>1</v>
      </c>
    </row>
    <row r="322" spans="1:6">
      <c r="A322">
        <v>1987</v>
      </c>
      <c r="B322" t="s">
        <v>310</v>
      </c>
      <c r="C322" t="s">
        <v>311</v>
      </c>
      <c r="D322">
        <v>478</v>
      </c>
      <c r="E322">
        <f t="shared" si="10"/>
        <v>1</v>
      </c>
      <c r="F322">
        <v>1</v>
      </c>
    </row>
    <row r="323" spans="1:6">
      <c r="A323">
        <v>1988</v>
      </c>
      <c r="B323" t="s">
        <v>310</v>
      </c>
      <c r="C323" t="s">
        <v>311</v>
      </c>
      <c r="D323">
        <v>478</v>
      </c>
      <c r="E323">
        <f t="shared" si="10"/>
        <v>1</v>
      </c>
      <c r="F323">
        <v>1</v>
      </c>
    </row>
    <row r="324" spans="1:6">
      <c r="A324">
        <v>1989</v>
      </c>
      <c r="B324" t="s">
        <v>310</v>
      </c>
      <c r="C324" t="s">
        <v>299</v>
      </c>
      <c r="D324">
        <v>478</v>
      </c>
      <c r="E324">
        <f t="shared" ref="E324:E387" si="11">IF(AND(C324=C323,D324=D323,A324=A323+1),1,0)</f>
        <v>0</v>
      </c>
      <c r="F324">
        <v>1</v>
      </c>
    </row>
    <row r="325" spans="1:6">
      <c r="A325">
        <v>1990</v>
      </c>
      <c r="B325" t="s">
        <v>310</v>
      </c>
      <c r="C325" t="s">
        <v>299</v>
      </c>
      <c r="D325">
        <v>478</v>
      </c>
      <c r="E325">
        <f t="shared" si="11"/>
        <v>1</v>
      </c>
      <c r="F325">
        <v>1</v>
      </c>
    </row>
    <row r="326" spans="1:6">
      <c r="A326">
        <v>1986</v>
      </c>
      <c r="B326" t="s">
        <v>310</v>
      </c>
      <c r="C326" t="s">
        <v>103</v>
      </c>
      <c r="D326">
        <v>481</v>
      </c>
      <c r="E326">
        <f t="shared" si="11"/>
        <v>0</v>
      </c>
      <c r="F326">
        <v>1</v>
      </c>
    </row>
    <row r="327" spans="1:6">
      <c r="A327">
        <v>1987</v>
      </c>
      <c r="B327" t="s">
        <v>310</v>
      </c>
      <c r="C327" t="s">
        <v>103</v>
      </c>
      <c r="D327">
        <v>481</v>
      </c>
      <c r="E327">
        <f t="shared" si="11"/>
        <v>1</v>
      </c>
      <c r="F327">
        <v>1</v>
      </c>
    </row>
    <row r="328" spans="1:6">
      <c r="A328">
        <v>1988</v>
      </c>
      <c r="B328" t="s">
        <v>310</v>
      </c>
      <c r="C328" t="s">
        <v>103</v>
      </c>
      <c r="D328">
        <v>481</v>
      </c>
      <c r="E328">
        <f t="shared" si="11"/>
        <v>1</v>
      </c>
      <c r="F328">
        <v>1</v>
      </c>
    </row>
    <row r="329" spans="1:6">
      <c r="A329">
        <v>1989</v>
      </c>
      <c r="B329" t="s">
        <v>310</v>
      </c>
      <c r="C329" t="s">
        <v>103</v>
      </c>
      <c r="D329">
        <v>481</v>
      </c>
      <c r="E329">
        <f t="shared" si="11"/>
        <v>1</v>
      </c>
      <c r="F329">
        <v>1</v>
      </c>
    </row>
    <row r="330" spans="1:6">
      <c r="A330">
        <v>1990</v>
      </c>
      <c r="B330" t="s">
        <v>310</v>
      </c>
      <c r="C330" t="s">
        <v>103</v>
      </c>
      <c r="D330">
        <v>481</v>
      </c>
      <c r="E330">
        <f t="shared" si="11"/>
        <v>1</v>
      </c>
      <c r="F330">
        <v>1</v>
      </c>
    </row>
    <row r="331" spans="1:6">
      <c r="A331">
        <v>1991</v>
      </c>
      <c r="B331" t="s">
        <v>310</v>
      </c>
      <c r="C331" t="s">
        <v>299</v>
      </c>
      <c r="D331">
        <v>481</v>
      </c>
      <c r="E331">
        <f t="shared" si="11"/>
        <v>0</v>
      </c>
      <c r="F331">
        <v>1</v>
      </c>
    </row>
    <row r="332" spans="1:6">
      <c r="A332">
        <v>1985</v>
      </c>
      <c r="B332" t="s">
        <v>310</v>
      </c>
      <c r="C332" t="s">
        <v>299</v>
      </c>
      <c r="D332">
        <v>495</v>
      </c>
      <c r="E332">
        <f t="shared" si="11"/>
        <v>0</v>
      </c>
      <c r="F332">
        <v>1</v>
      </c>
    </row>
    <row r="333" spans="1:6">
      <c r="A333">
        <v>1986</v>
      </c>
      <c r="B333" t="s">
        <v>310</v>
      </c>
      <c r="C333" t="s">
        <v>324</v>
      </c>
      <c r="D333">
        <v>495</v>
      </c>
      <c r="E333">
        <f t="shared" si="11"/>
        <v>0</v>
      </c>
      <c r="F333">
        <v>1</v>
      </c>
    </row>
    <row r="334" spans="1:6">
      <c r="A334">
        <v>1987</v>
      </c>
      <c r="B334" t="s">
        <v>310</v>
      </c>
      <c r="C334" t="s">
        <v>299</v>
      </c>
      <c r="D334">
        <v>495</v>
      </c>
      <c r="E334">
        <f t="shared" si="11"/>
        <v>0</v>
      </c>
      <c r="F334">
        <v>1</v>
      </c>
    </row>
    <row r="335" spans="1:6">
      <c r="A335">
        <v>1988</v>
      </c>
      <c r="B335" t="s">
        <v>310</v>
      </c>
      <c r="C335" t="s">
        <v>299</v>
      </c>
      <c r="D335">
        <v>495</v>
      </c>
      <c r="E335">
        <f t="shared" si="11"/>
        <v>1</v>
      </c>
      <c r="F335">
        <v>1</v>
      </c>
    </row>
    <row r="336" spans="1:6">
      <c r="A336">
        <v>1989</v>
      </c>
      <c r="B336" t="s">
        <v>310</v>
      </c>
      <c r="C336" t="s">
        <v>299</v>
      </c>
      <c r="D336">
        <v>495</v>
      </c>
      <c r="E336">
        <f t="shared" si="11"/>
        <v>1</v>
      </c>
      <c r="F336">
        <v>1</v>
      </c>
    </row>
    <row r="337" spans="1:6">
      <c r="A337">
        <v>1990</v>
      </c>
      <c r="B337" t="s">
        <v>310</v>
      </c>
      <c r="C337" t="s">
        <v>299</v>
      </c>
      <c r="D337">
        <v>495</v>
      </c>
      <c r="E337">
        <f t="shared" si="11"/>
        <v>1</v>
      </c>
      <c r="F337">
        <v>1</v>
      </c>
    </row>
    <row r="338" spans="1:6">
      <c r="A338">
        <v>1983</v>
      </c>
      <c r="B338" t="s">
        <v>310</v>
      </c>
      <c r="C338" t="s">
        <v>312</v>
      </c>
      <c r="D338">
        <v>505</v>
      </c>
      <c r="E338">
        <f t="shared" si="11"/>
        <v>0</v>
      </c>
      <c r="F338">
        <v>1</v>
      </c>
    </row>
    <row r="339" spans="1:6">
      <c r="A339">
        <v>1984</v>
      </c>
      <c r="B339" t="s">
        <v>310</v>
      </c>
      <c r="C339" t="s">
        <v>312</v>
      </c>
      <c r="D339">
        <v>505</v>
      </c>
      <c r="E339">
        <f t="shared" si="11"/>
        <v>1</v>
      </c>
      <c r="F339">
        <v>1</v>
      </c>
    </row>
    <row r="340" spans="1:6">
      <c r="A340">
        <v>1985</v>
      </c>
      <c r="B340" t="s">
        <v>310</v>
      </c>
      <c r="C340" t="s">
        <v>312</v>
      </c>
      <c r="D340">
        <v>505</v>
      </c>
      <c r="E340">
        <f t="shared" si="11"/>
        <v>1</v>
      </c>
      <c r="F340">
        <v>1</v>
      </c>
    </row>
    <row r="341" spans="1:6">
      <c r="A341">
        <v>1986</v>
      </c>
      <c r="B341" t="s">
        <v>310</v>
      </c>
      <c r="C341" t="s">
        <v>312</v>
      </c>
      <c r="D341">
        <v>505</v>
      </c>
      <c r="E341">
        <f t="shared" si="11"/>
        <v>1</v>
      </c>
      <c r="F341">
        <v>1</v>
      </c>
    </row>
    <row r="342" spans="1:6">
      <c r="A342">
        <v>1987</v>
      </c>
      <c r="B342" t="s">
        <v>310</v>
      </c>
      <c r="C342" t="s">
        <v>299</v>
      </c>
      <c r="D342">
        <v>505</v>
      </c>
      <c r="E342">
        <f t="shared" si="11"/>
        <v>0</v>
      </c>
      <c r="F342">
        <v>1</v>
      </c>
    </row>
    <row r="343" spans="1:6">
      <c r="A343">
        <v>1988</v>
      </c>
      <c r="B343" t="s">
        <v>310</v>
      </c>
      <c r="C343" t="s">
        <v>312</v>
      </c>
      <c r="D343">
        <v>505</v>
      </c>
      <c r="E343">
        <f t="shared" si="11"/>
        <v>0</v>
      </c>
      <c r="F343">
        <v>1</v>
      </c>
    </row>
    <row r="344" spans="1:6">
      <c r="A344">
        <v>1989</v>
      </c>
      <c r="B344" t="s">
        <v>310</v>
      </c>
      <c r="C344" t="s">
        <v>299</v>
      </c>
      <c r="D344">
        <v>505</v>
      </c>
      <c r="E344">
        <f t="shared" si="11"/>
        <v>0</v>
      </c>
      <c r="F344">
        <v>1</v>
      </c>
    </row>
    <row r="345" spans="1:6">
      <c r="A345">
        <v>1990</v>
      </c>
      <c r="B345" t="s">
        <v>310</v>
      </c>
      <c r="C345" t="s">
        <v>299</v>
      </c>
      <c r="D345">
        <v>505</v>
      </c>
      <c r="E345">
        <f t="shared" si="11"/>
        <v>1</v>
      </c>
      <c r="F345">
        <v>1</v>
      </c>
    </row>
    <row r="346" spans="1:6">
      <c r="A346">
        <v>1983</v>
      </c>
      <c r="B346" t="s">
        <v>310</v>
      </c>
      <c r="C346" t="s">
        <v>314</v>
      </c>
      <c r="D346">
        <v>525</v>
      </c>
      <c r="E346">
        <f t="shared" si="11"/>
        <v>0</v>
      </c>
      <c r="F346">
        <v>1</v>
      </c>
    </row>
    <row r="347" spans="1:6">
      <c r="A347">
        <v>1984</v>
      </c>
      <c r="B347" t="s">
        <v>310</v>
      </c>
      <c r="C347" t="s">
        <v>321</v>
      </c>
      <c r="D347">
        <v>525</v>
      </c>
      <c r="E347">
        <f t="shared" si="11"/>
        <v>0</v>
      </c>
      <c r="F347">
        <v>1</v>
      </c>
    </row>
    <row r="348" spans="1:6">
      <c r="A348">
        <v>1985</v>
      </c>
      <c r="B348" t="s">
        <v>310</v>
      </c>
      <c r="C348" t="s">
        <v>55</v>
      </c>
      <c r="D348">
        <v>525</v>
      </c>
      <c r="E348">
        <f t="shared" si="11"/>
        <v>0</v>
      </c>
      <c r="F348">
        <v>1</v>
      </c>
    </row>
    <row r="349" spans="1:6">
      <c r="A349">
        <v>1986</v>
      </c>
      <c r="B349" t="s">
        <v>310</v>
      </c>
      <c r="C349" t="s">
        <v>321</v>
      </c>
      <c r="D349">
        <v>525</v>
      </c>
      <c r="E349">
        <f t="shared" si="11"/>
        <v>0</v>
      </c>
      <c r="F349">
        <v>1</v>
      </c>
    </row>
    <row r="350" spans="1:6">
      <c r="A350">
        <v>1987</v>
      </c>
      <c r="B350" t="s">
        <v>310</v>
      </c>
      <c r="C350" t="s">
        <v>321</v>
      </c>
      <c r="D350">
        <v>525</v>
      </c>
      <c r="E350">
        <f t="shared" si="11"/>
        <v>1</v>
      </c>
      <c r="F350">
        <v>1</v>
      </c>
    </row>
    <row r="351" spans="1:6">
      <c r="A351">
        <v>1988</v>
      </c>
      <c r="B351" t="s">
        <v>310</v>
      </c>
      <c r="C351" t="s">
        <v>321</v>
      </c>
      <c r="D351">
        <v>525</v>
      </c>
      <c r="E351">
        <f t="shared" si="11"/>
        <v>1</v>
      </c>
      <c r="F351">
        <v>1</v>
      </c>
    </row>
    <row r="352" spans="1:6">
      <c r="A352">
        <v>1989</v>
      </c>
      <c r="B352" t="s">
        <v>310</v>
      </c>
      <c r="C352" t="s">
        <v>314</v>
      </c>
      <c r="D352">
        <v>525</v>
      </c>
      <c r="E352">
        <f t="shared" si="11"/>
        <v>0</v>
      </c>
      <c r="F352">
        <v>1</v>
      </c>
    </row>
    <row r="353" spans="1:6">
      <c r="A353">
        <v>1990</v>
      </c>
      <c r="B353" t="s">
        <v>310</v>
      </c>
      <c r="C353" t="s">
        <v>299</v>
      </c>
      <c r="D353">
        <v>525</v>
      </c>
      <c r="E353">
        <f t="shared" si="11"/>
        <v>0</v>
      </c>
      <c r="F353">
        <v>1</v>
      </c>
    </row>
    <row r="354" spans="1:6">
      <c r="A354">
        <v>1984</v>
      </c>
      <c r="B354" t="s">
        <v>298</v>
      </c>
      <c r="C354" t="s">
        <v>299</v>
      </c>
      <c r="D354">
        <v>533</v>
      </c>
      <c r="E354">
        <f t="shared" si="11"/>
        <v>0</v>
      </c>
      <c r="F354">
        <v>1</v>
      </c>
    </row>
    <row r="355" spans="1:6">
      <c r="A355">
        <v>1985</v>
      </c>
      <c r="B355" t="s">
        <v>298</v>
      </c>
      <c r="C355" t="s">
        <v>299</v>
      </c>
      <c r="D355">
        <v>533</v>
      </c>
      <c r="E355">
        <f t="shared" si="11"/>
        <v>1</v>
      </c>
      <c r="F355">
        <v>1</v>
      </c>
    </row>
    <row r="356" spans="1:6">
      <c r="A356">
        <v>1986</v>
      </c>
      <c r="B356" t="s">
        <v>298</v>
      </c>
      <c r="C356" t="s">
        <v>299</v>
      </c>
      <c r="D356">
        <v>533</v>
      </c>
      <c r="E356">
        <f t="shared" si="11"/>
        <v>1</v>
      </c>
      <c r="F356">
        <v>1</v>
      </c>
    </row>
    <row r="357" spans="1:6">
      <c r="A357">
        <v>1987</v>
      </c>
      <c r="B357" t="s">
        <v>298</v>
      </c>
      <c r="C357" t="s">
        <v>299</v>
      </c>
      <c r="D357">
        <v>533</v>
      </c>
      <c r="E357">
        <f t="shared" si="11"/>
        <v>1</v>
      </c>
      <c r="F357">
        <v>1</v>
      </c>
    </row>
    <row r="358" spans="1:6">
      <c r="A358">
        <v>1988</v>
      </c>
      <c r="B358" t="s">
        <v>298</v>
      </c>
      <c r="C358" t="s">
        <v>299</v>
      </c>
      <c r="D358">
        <v>533</v>
      </c>
      <c r="E358">
        <f t="shared" si="11"/>
        <v>1</v>
      </c>
      <c r="F358">
        <v>1</v>
      </c>
    </row>
    <row r="359" spans="1:6">
      <c r="A359">
        <v>1989</v>
      </c>
      <c r="B359" t="s">
        <v>298</v>
      </c>
      <c r="C359" t="s">
        <v>299</v>
      </c>
      <c r="D359">
        <v>533</v>
      </c>
      <c r="E359">
        <f t="shared" si="11"/>
        <v>1</v>
      </c>
      <c r="F359">
        <v>1</v>
      </c>
    </row>
    <row r="360" spans="1:6">
      <c r="A360">
        <v>1990</v>
      </c>
      <c r="B360" t="s">
        <v>298</v>
      </c>
      <c r="C360" t="s">
        <v>299</v>
      </c>
      <c r="D360">
        <v>533</v>
      </c>
      <c r="E360">
        <f t="shared" si="11"/>
        <v>1</v>
      </c>
      <c r="F360">
        <v>1</v>
      </c>
    </row>
    <row r="361" spans="1:6">
      <c r="A361">
        <v>1991</v>
      </c>
      <c r="B361" t="s">
        <v>298</v>
      </c>
      <c r="C361" t="s">
        <v>299</v>
      </c>
      <c r="D361">
        <v>533</v>
      </c>
      <c r="E361">
        <f t="shared" si="11"/>
        <v>1</v>
      </c>
      <c r="F361">
        <v>1</v>
      </c>
    </row>
    <row r="362" spans="1:6">
      <c r="A362">
        <v>1990</v>
      </c>
      <c r="B362" t="s">
        <v>310</v>
      </c>
      <c r="C362" t="s">
        <v>301</v>
      </c>
      <c r="D362">
        <v>537</v>
      </c>
      <c r="E362">
        <f t="shared" si="11"/>
        <v>0</v>
      </c>
      <c r="F362">
        <v>1</v>
      </c>
    </row>
    <row r="363" spans="1:6">
      <c r="A363">
        <v>1983</v>
      </c>
      <c r="B363" t="s">
        <v>310</v>
      </c>
      <c r="C363" t="s">
        <v>43</v>
      </c>
      <c r="D363">
        <v>561</v>
      </c>
      <c r="E363">
        <f t="shared" si="11"/>
        <v>0</v>
      </c>
      <c r="F363">
        <v>1</v>
      </c>
    </row>
    <row r="364" spans="1:6">
      <c r="A364">
        <v>1984</v>
      </c>
      <c r="B364" t="s">
        <v>310</v>
      </c>
      <c r="C364" t="s">
        <v>43</v>
      </c>
      <c r="D364">
        <v>561</v>
      </c>
      <c r="E364">
        <f t="shared" si="11"/>
        <v>1</v>
      </c>
      <c r="F364">
        <v>1</v>
      </c>
    </row>
    <row r="365" spans="1:6">
      <c r="A365">
        <v>1985</v>
      </c>
      <c r="B365" t="s">
        <v>310</v>
      </c>
      <c r="C365" t="s">
        <v>43</v>
      </c>
      <c r="D365">
        <v>561</v>
      </c>
      <c r="E365">
        <f t="shared" si="11"/>
        <v>1</v>
      </c>
      <c r="F365">
        <v>1</v>
      </c>
    </row>
    <row r="366" spans="1:6">
      <c r="A366">
        <v>1986</v>
      </c>
      <c r="B366" t="s">
        <v>310</v>
      </c>
      <c r="C366" t="s">
        <v>43</v>
      </c>
      <c r="D366">
        <v>561</v>
      </c>
      <c r="E366">
        <f t="shared" si="11"/>
        <v>1</v>
      </c>
      <c r="F366">
        <v>1</v>
      </c>
    </row>
    <row r="367" spans="1:6">
      <c r="A367">
        <v>1987</v>
      </c>
      <c r="B367" t="s">
        <v>310</v>
      </c>
      <c r="C367" t="s">
        <v>43</v>
      </c>
      <c r="D367">
        <v>561</v>
      </c>
      <c r="E367">
        <f t="shared" si="11"/>
        <v>1</v>
      </c>
      <c r="F367">
        <v>1</v>
      </c>
    </row>
    <row r="368" spans="1:6">
      <c r="A368">
        <v>1988</v>
      </c>
      <c r="B368" t="s">
        <v>310</v>
      </c>
      <c r="C368" t="s">
        <v>43</v>
      </c>
      <c r="D368">
        <v>561</v>
      </c>
      <c r="E368">
        <f t="shared" si="11"/>
        <v>1</v>
      </c>
      <c r="F368">
        <v>1</v>
      </c>
    </row>
    <row r="369" spans="1:6">
      <c r="A369">
        <v>1989</v>
      </c>
      <c r="B369" t="s">
        <v>310</v>
      </c>
      <c r="C369" t="s">
        <v>43</v>
      </c>
      <c r="D369">
        <v>561</v>
      </c>
      <c r="E369">
        <f t="shared" si="11"/>
        <v>1</v>
      </c>
      <c r="F369">
        <v>1</v>
      </c>
    </row>
    <row r="370" spans="1:6">
      <c r="A370">
        <v>1990</v>
      </c>
      <c r="B370" t="s">
        <v>310</v>
      </c>
      <c r="C370" t="s">
        <v>43</v>
      </c>
      <c r="D370">
        <v>561</v>
      </c>
      <c r="E370">
        <f t="shared" si="11"/>
        <v>1</v>
      </c>
      <c r="F370">
        <v>1</v>
      </c>
    </row>
    <row r="371" spans="1:6">
      <c r="A371">
        <v>1984</v>
      </c>
      <c r="B371" t="s">
        <v>298</v>
      </c>
      <c r="C371" t="s">
        <v>301</v>
      </c>
      <c r="D371">
        <v>567</v>
      </c>
      <c r="E371">
        <f t="shared" si="11"/>
        <v>0</v>
      </c>
      <c r="F371">
        <v>1</v>
      </c>
    </row>
    <row r="372" spans="1:6">
      <c r="A372">
        <v>1985</v>
      </c>
      <c r="B372" t="s">
        <v>298</v>
      </c>
      <c r="C372" t="s">
        <v>301</v>
      </c>
      <c r="D372">
        <v>567</v>
      </c>
      <c r="E372">
        <f t="shared" si="11"/>
        <v>1</v>
      </c>
      <c r="F372">
        <v>1</v>
      </c>
    </row>
    <row r="373" spans="1:6">
      <c r="A373">
        <v>1986</v>
      </c>
      <c r="B373" t="s">
        <v>298</v>
      </c>
      <c r="C373" t="s">
        <v>301</v>
      </c>
      <c r="D373">
        <v>567</v>
      </c>
      <c r="E373">
        <f t="shared" si="11"/>
        <v>1</v>
      </c>
      <c r="F373">
        <v>1</v>
      </c>
    </row>
    <row r="374" spans="1:6">
      <c r="A374">
        <v>1987</v>
      </c>
      <c r="B374" t="s">
        <v>298</v>
      </c>
      <c r="C374" t="s">
        <v>301</v>
      </c>
      <c r="D374">
        <v>567</v>
      </c>
      <c r="E374">
        <f t="shared" si="11"/>
        <v>1</v>
      </c>
      <c r="F374">
        <v>1</v>
      </c>
    </row>
    <row r="375" spans="1:6">
      <c r="A375">
        <v>1988</v>
      </c>
      <c r="B375" t="s">
        <v>298</v>
      </c>
      <c r="C375" t="s">
        <v>301</v>
      </c>
      <c r="D375">
        <v>567</v>
      </c>
      <c r="E375">
        <f t="shared" si="11"/>
        <v>1</v>
      </c>
      <c r="F375">
        <v>1</v>
      </c>
    </row>
    <row r="376" spans="1:6">
      <c r="A376">
        <v>1989</v>
      </c>
      <c r="B376" t="s">
        <v>298</v>
      </c>
      <c r="C376" t="s">
        <v>301</v>
      </c>
      <c r="D376">
        <v>567</v>
      </c>
      <c r="E376">
        <f t="shared" si="11"/>
        <v>1</v>
      </c>
      <c r="F376">
        <v>1</v>
      </c>
    </row>
    <row r="377" spans="1:6">
      <c r="A377">
        <v>1990</v>
      </c>
      <c r="B377" t="s">
        <v>298</v>
      </c>
      <c r="C377" t="s">
        <v>301</v>
      </c>
      <c r="D377">
        <v>567</v>
      </c>
      <c r="E377">
        <f t="shared" si="11"/>
        <v>1</v>
      </c>
      <c r="F377">
        <v>1</v>
      </c>
    </row>
    <row r="378" spans="1:6">
      <c r="A378">
        <v>1991</v>
      </c>
      <c r="B378" t="s">
        <v>298</v>
      </c>
      <c r="C378" t="s">
        <v>301</v>
      </c>
      <c r="D378">
        <v>567</v>
      </c>
      <c r="E378">
        <f t="shared" si="11"/>
        <v>1</v>
      </c>
      <c r="F378">
        <v>1</v>
      </c>
    </row>
    <row r="379" spans="1:6">
      <c r="A379">
        <v>1983</v>
      </c>
      <c r="B379" t="s">
        <v>310</v>
      </c>
      <c r="C379" t="s">
        <v>311</v>
      </c>
      <c r="D379">
        <v>593</v>
      </c>
      <c r="E379">
        <f t="shared" si="11"/>
        <v>0</v>
      </c>
      <c r="F379">
        <v>1</v>
      </c>
    </row>
    <row r="380" spans="1:6">
      <c r="A380">
        <v>1984</v>
      </c>
      <c r="B380" t="s">
        <v>310</v>
      </c>
      <c r="C380" t="s">
        <v>311</v>
      </c>
      <c r="D380">
        <v>593</v>
      </c>
      <c r="E380">
        <f t="shared" si="11"/>
        <v>1</v>
      </c>
      <c r="F380">
        <v>1</v>
      </c>
    </row>
    <row r="381" spans="1:6">
      <c r="A381">
        <v>1985</v>
      </c>
      <c r="B381" t="s">
        <v>310</v>
      </c>
      <c r="C381" t="s">
        <v>311</v>
      </c>
      <c r="D381">
        <v>593</v>
      </c>
      <c r="E381">
        <f t="shared" si="11"/>
        <v>1</v>
      </c>
      <c r="F381">
        <v>1</v>
      </c>
    </row>
    <row r="382" spans="1:6">
      <c r="A382">
        <v>1986</v>
      </c>
      <c r="B382" t="s">
        <v>310</v>
      </c>
      <c r="C382" t="s">
        <v>311</v>
      </c>
      <c r="D382">
        <v>593</v>
      </c>
      <c r="E382">
        <f t="shared" si="11"/>
        <v>1</v>
      </c>
      <c r="F382">
        <v>1</v>
      </c>
    </row>
    <row r="383" spans="1:6">
      <c r="A383">
        <v>1987</v>
      </c>
      <c r="B383" t="s">
        <v>310</v>
      </c>
      <c r="C383" t="s">
        <v>311</v>
      </c>
      <c r="D383">
        <v>593</v>
      </c>
      <c r="E383">
        <f t="shared" si="11"/>
        <v>1</v>
      </c>
      <c r="F383">
        <v>1</v>
      </c>
    </row>
    <row r="384" spans="1:6">
      <c r="A384">
        <v>1988</v>
      </c>
      <c r="B384" t="s">
        <v>310</v>
      </c>
      <c r="C384" t="s">
        <v>311</v>
      </c>
      <c r="D384">
        <v>593</v>
      </c>
      <c r="E384">
        <f t="shared" si="11"/>
        <v>1</v>
      </c>
      <c r="F384">
        <v>1</v>
      </c>
    </row>
    <row r="385" spans="1:6">
      <c r="A385">
        <v>1989</v>
      </c>
      <c r="B385" t="s">
        <v>310</v>
      </c>
      <c r="C385" t="s">
        <v>311</v>
      </c>
      <c r="D385">
        <v>593</v>
      </c>
      <c r="E385">
        <f t="shared" si="11"/>
        <v>1</v>
      </c>
      <c r="F385">
        <v>1</v>
      </c>
    </row>
    <row r="386" spans="1:6">
      <c r="A386">
        <v>1990</v>
      </c>
      <c r="B386" t="s">
        <v>310</v>
      </c>
      <c r="C386" t="s">
        <v>301</v>
      </c>
      <c r="D386">
        <v>593</v>
      </c>
      <c r="E386">
        <f t="shared" si="11"/>
        <v>0</v>
      </c>
      <c r="F386">
        <v>1</v>
      </c>
    </row>
    <row r="387" spans="1:6">
      <c r="A387">
        <v>1984</v>
      </c>
      <c r="B387" t="s">
        <v>310</v>
      </c>
      <c r="C387" t="s">
        <v>55</v>
      </c>
      <c r="D387">
        <v>601</v>
      </c>
      <c r="E387">
        <f t="shared" si="11"/>
        <v>0</v>
      </c>
      <c r="F387">
        <v>1</v>
      </c>
    </row>
    <row r="388" spans="1:6">
      <c r="A388">
        <v>1985</v>
      </c>
      <c r="B388" t="s">
        <v>310</v>
      </c>
      <c r="C388" t="s">
        <v>311</v>
      </c>
      <c r="D388">
        <v>601</v>
      </c>
      <c r="E388">
        <f t="shared" ref="E388:E393" si="12">IF(AND(C388=C387,D388=D387,A388=A387+1),1,0)</f>
        <v>0</v>
      </c>
      <c r="F388">
        <v>1</v>
      </c>
    </row>
    <row r="389" spans="1:6">
      <c r="A389">
        <v>1986</v>
      </c>
      <c r="B389" t="s">
        <v>310</v>
      </c>
      <c r="C389" t="s">
        <v>55</v>
      </c>
      <c r="D389">
        <v>601</v>
      </c>
      <c r="E389">
        <f t="shared" si="12"/>
        <v>0</v>
      </c>
      <c r="F389">
        <v>1</v>
      </c>
    </row>
    <row r="390" spans="1:6">
      <c r="A390">
        <v>1987</v>
      </c>
      <c r="B390" t="s">
        <v>310</v>
      </c>
      <c r="C390" t="s">
        <v>311</v>
      </c>
      <c r="D390">
        <v>601</v>
      </c>
      <c r="E390">
        <f t="shared" si="12"/>
        <v>0</v>
      </c>
      <c r="F390">
        <v>1</v>
      </c>
    </row>
    <row r="391" spans="1:6">
      <c r="A391">
        <v>1988</v>
      </c>
      <c r="B391" t="s">
        <v>310</v>
      </c>
      <c r="C391" t="s">
        <v>55</v>
      </c>
      <c r="D391">
        <v>601</v>
      </c>
      <c r="E391">
        <f t="shared" si="12"/>
        <v>0</v>
      </c>
      <c r="F391">
        <v>1</v>
      </c>
    </row>
    <row r="392" spans="1:6">
      <c r="A392">
        <v>1989</v>
      </c>
      <c r="B392" t="s">
        <v>310</v>
      </c>
      <c r="C392" t="s">
        <v>55</v>
      </c>
      <c r="D392">
        <v>601</v>
      </c>
      <c r="E392">
        <f t="shared" si="12"/>
        <v>1</v>
      </c>
      <c r="F392">
        <v>1</v>
      </c>
    </row>
    <row r="393" spans="1:6">
      <c r="A393">
        <v>1990</v>
      </c>
      <c r="B393" t="s">
        <v>310</v>
      </c>
      <c r="C393" t="s">
        <v>314</v>
      </c>
      <c r="D393">
        <v>601</v>
      </c>
      <c r="E393">
        <f t="shared" si="12"/>
        <v>0</v>
      </c>
      <c r="F393">
        <v>1</v>
      </c>
    </row>
  </sheetData>
  <sortState xmlns:xlrd2="http://schemas.microsoft.com/office/spreadsheetml/2017/richdata2" ref="A2:D393">
    <sortCondition ref="D2:D393"/>
    <sortCondition ref="A2:A393"/>
    <sortCondition ref="C2:C393"/>
  </sortState>
  <pageMargins left="0.75" right="0.75" top="1" bottom="1" header="0.5" footer="0.5"/>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7D924-EABF-41E7-B9DA-B8DDE08EFDCE}">
  <dimension ref="A1:E55"/>
  <sheetViews>
    <sheetView workbookViewId="0">
      <selection sqref="A1:E55"/>
    </sheetView>
  </sheetViews>
  <sheetFormatPr defaultRowHeight="12.75"/>
  <cols>
    <col min="1" max="1" width="11.85546875" bestFit="1" customWidth="1"/>
    <col min="2" max="2" width="7.42578125" bestFit="1" customWidth="1"/>
    <col min="3" max="3" width="11.140625" bestFit="1" customWidth="1"/>
    <col min="4" max="4" width="24.28515625" bestFit="1" customWidth="1"/>
    <col min="5" max="5" width="28" bestFit="1" customWidth="1"/>
  </cols>
  <sheetData>
    <row r="1" spans="1:5">
      <c r="A1" t="s">
        <v>1</v>
      </c>
      <c r="B1" t="s">
        <v>0</v>
      </c>
      <c r="C1" t="s">
        <v>351</v>
      </c>
      <c r="D1" t="s">
        <v>354</v>
      </c>
      <c r="E1" t="s">
        <v>358</v>
      </c>
    </row>
    <row r="2" spans="1:5">
      <c r="A2" t="s">
        <v>298</v>
      </c>
      <c r="B2">
        <v>1983</v>
      </c>
      <c r="C2" t="s">
        <v>3</v>
      </c>
      <c r="D2">
        <v>0.118644444444444</v>
      </c>
      <c r="E2">
        <v>1.4247904329331155E-2</v>
      </c>
    </row>
    <row r="3" spans="1:5">
      <c r="A3" t="s">
        <v>298</v>
      </c>
      <c r="B3">
        <v>1983</v>
      </c>
      <c r="C3" t="s">
        <v>5</v>
      </c>
      <c r="D3">
        <v>0.11211818181818201</v>
      </c>
      <c r="E3">
        <v>1.2225450354225937E-2</v>
      </c>
    </row>
    <row r="4" spans="1:5">
      <c r="A4" t="s">
        <v>298</v>
      </c>
      <c r="B4">
        <v>1983</v>
      </c>
      <c r="C4" t="s">
        <v>7</v>
      </c>
      <c r="D4">
        <v>0.10598</v>
      </c>
      <c r="E4">
        <v>3.9474042103640698E-3</v>
      </c>
    </row>
    <row r="5" spans="1:5">
      <c r="A5" t="s">
        <v>310</v>
      </c>
      <c r="B5">
        <v>1983</v>
      </c>
      <c r="C5" t="s">
        <v>3</v>
      </c>
      <c r="D5">
        <v>0.13171739130434801</v>
      </c>
      <c r="E5">
        <v>1.4261220532170093E-2</v>
      </c>
    </row>
    <row r="6" spans="1:5">
      <c r="A6" t="s">
        <v>298</v>
      </c>
      <c r="B6">
        <v>1984</v>
      </c>
      <c r="C6" t="s">
        <v>3</v>
      </c>
      <c r="D6">
        <v>0.13885555555555601</v>
      </c>
      <c r="E6">
        <v>4.7487132760125382E-3</v>
      </c>
    </row>
    <row r="7" spans="1:5">
      <c r="A7" t="s">
        <v>310</v>
      </c>
      <c r="B7">
        <v>1983</v>
      </c>
      <c r="C7" t="s">
        <v>5</v>
      </c>
      <c r="D7">
        <v>0.124468</v>
      </c>
      <c r="E7">
        <v>1.6403651016364099E-2</v>
      </c>
    </row>
    <row r="8" spans="1:5">
      <c r="A8" t="s">
        <v>298</v>
      </c>
      <c r="B8">
        <v>1984</v>
      </c>
      <c r="C8" t="s">
        <v>5</v>
      </c>
      <c r="D8">
        <v>0.133841666666667</v>
      </c>
      <c r="E8">
        <v>6.3571660829382596E-3</v>
      </c>
    </row>
    <row r="9" spans="1:5">
      <c r="A9" t="s">
        <v>310</v>
      </c>
      <c r="B9">
        <v>1983</v>
      </c>
      <c r="C9" t="s">
        <v>7</v>
      </c>
      <c r="D9">
        <v>0.12661600000000001</v>
      </c>
      <c r="E9">
        <v>1.6615045390649001E-2</v>
      </c>
    </row>
    <row r="10" spans="1:5">
      <c r="A10" t="s">
        <v>298</v>
      </c>
      <c r="B10">
        <v>1984</v>
      </c>
      <c r="C10" t="s">
        <v>7</v>
      </c>
      <c r="D10">
        <v>0.13468333333333299</v>
      </c>
      <c r="E10">
        <v>7.7852210416061197E-3</v>
      </c>
    </row>
    <row r="11" spans="1:5">
      <c r="A11" t="s">
        <v>298</v>
      </c>
      <c r="B11">
        <v>1985</v>
      </c>
      <c r="C11" t="s">
        <v>3</v>
      </c>
      <c r="D11">
        <v>0.14152000000000001</v>
      </c>
      <c r="E11">
        <v>5.3426585142604737E-3</v>
      </c>
    </row>
    <row r="12" spans="1:5">
      <c r="A12" t="s">
        <v>298</v>
      </c>
      <c r="B12">
        <v>1985</v>
      </c>
      <c r="C12" t="s">
        <v>5</v>
      </c>
      <c r="D12">
        <v>0.136584615384615</v>
      </c>
      <c r="E12">
        <v>5.3744528642219501E-3</v>
      </c>
    </row>
    <row r="13" spans="1:5">
      <c r="A13" t="s">
        <v>298</v>
      </c>
      <c r="B13">
        <v>1985</v>
      </c>
      <c r="C13" t="s">
        <v>7</v>
      </c>
      <c r="D13">
        <v>0.13871666666666699</v>
      </c>
      <c r="E13">
        <v>6.2191371320036602E-3</v>
      </c>
    </row>
    <row r="14" spans="1:5">
      <c r="A14" t="s">
        <v>310</v>
      </c>
      <c r="B14">
        <v>1984</v>
      </c>
      <c r="C14" t="s">
        <v>3</v>
      </c>
      <c r="D14">
        <v>0.13089545454545501</v>
      </c>
      <c r="E14">
        <v>1.3741888595258633E-2</v>
      </c>
    </row>
    <row r="15" spans="1:5">
      <c r="A15" t="s">
        <v>298</v>
      </c>
      <c r="B15">
        <v>1986</v>
      </c>
      <c r="C15" t="s">
        <v>3</v>
      </c>
      <c r="D15">
        <v>0.14463000000000001</v>
      </c>
      <c r="E15">
        <v>4.4284559636765253E-3</v>
      </c>
    </row>
    <row r="16" spans="1:5">
      <c r="A16" t="s">
        <v>310</v>
      </c>
      <c r="B16">
        <v>1984</v>
      </c>
      <c r="C16" t="s">
        <v>5</v>
      </c>
      <c r="D16">
        <v>0.123569230769231</v>
      </c>
      <c r="E16">
        <v>1.46985922926182E-2</v>
      </c>
    </row>
    <row r="17" spans="1:5">
      <c r="A17" t="s">
        <v>298</v>
      </c>
      <c r="B17">
        <v>1986</v>
      </c>
      <c r="C17" t="s">
        <v>5</v>
      </c>
      <c r="D17">
        <v>0.13909230769230799</v>
      </c>
      <c r="E17">
        <v>5.3320511279215197E-3</v>
      </c>
    </row>
    <row r="18" spans="1:5">
      <c r="A18" t="s">
        <v>310</v>
      </c>
      <c r="B18">
        <v>1984</v>
      </c>
      <c r="C18" t="s">
        <v>7</v>
      </c>
      <c r="D18">
        <v>0.125112</v>
      </c>
      <c r="E18">
        <v>1.5301560922555101E-2</v>
      </c>
    </row>
    <row r="19" spans="1:5">
      <c r="A19" t="s">
        <v>298</v>
      </c>
      <c r="B19">
        <v>1986</v>
      </c>
      <c r="C19" t="s">
        <v>7</v>
      </c>
      <c r="D19">
        <v>0.141383333333333</v>
      </c>
      <c r="E19">
        <v>5.2113018207225999E-3</v>
      </c>
    </row>
    <row r="20" spans="1:5">
      <c r="A20" t="s">
        <v>298</v>
      </c>
      <c r="B20">
        <v>1987</v>
      </c>
      <c r="C20" t="s">
        <v>3</v>
      </c>
      <c r="D20">
        <v>0.149458333333333</v>
      </c>
      <c r="E20">
        <v>5.27195984488317E-3</v>
      </c>
    </row>
    <row r="21" spans="1:5">
      <c r="A21" t="s">
        <v>298</v>
      </c>
      <c r="B21">
        <v>1987</v>
      </c>
      <c r="C21" t="s">
        <v>5</v>
      </c>
      <c r="D21">
        <v>0.14242307692307701</v>
      </c>
      <c r="E21">
        <v>7.0173776970881103E-3</v>
      </c>
    </row>
    <row r="22" spans="1:5">
      <c r="A22" t="s">
        <v>298</v>
      </c>
      <c r="B22">
        <v>1987</v>
      </c>
      <c r="C22" t="s">
        <v>7</v>
      </c>
      <c r="D22">
        <v>0.14364285714285699</v>
      </c>
      <c r="E22">
        <v>6.3292593413071504E-3</v>
      </c>
    </row>
    <row r="23" spans="1:5">
      <c r="A23" t="s">
        <v>310</v>
      </c>
      <c r="B23">
        <v>1985</v>
      </c>
      <c r="C23" t="s">
        <v>3</v>
      </c>
      <c r="D23">
        <v>0.12791538461538501</v>
      </c>
      <c r="E23">
        <v>1.3218099479356015E-2</v>
      </c>
    </row>
    <row r="24" spans="1:5">
      <c r="A24" t="s">
        <v>298</v>
      </c>
      <c r="B24">
        <v>1988</v>
      </c>
      <c r="C24" t="s">
        <v>3</v>
      </c>
      <c r="D24">
        <v>0.15129999999999999</v>
      </c>
      <c r="E24">
        <v>4.9909008113857428E-3</v>
      </c>
    </row>
    <row r="25" spans="1:5">
      <c r="A25" t="s">
        <v>310</v>
      </c>
      <c r="B25">
        <v>1985</v>
      </c>
      <c r="C25" t="s">
        <v>5</v>
      </c>
      <c r="D25">
        <v>0.119989655172414</v>
      </c>
      <c r="E25">
        <v>1.4522454161636901E-2</v>
      </c>
    </row>
    <row r="26" spans="1:5">
      <c r="A26" t="s">
        <v>298</v>
      </c>
      <c r="B26">
        <v>1988</v>
      </c>
      <c r="C26" t="s">
        <v>5</v>
      </c>
      <c r="D26">
        <v>0.14481538461538501</v>
      </c>
      <c r="E26">
        <v>6.1801896079120098E-3</v>
      </c>
    </row>
    <row r="27" spans="1:5">
      <c r="A27" t="s">
        <v>310</v>
      </c>
      <c r="B27">
        <v>1985</v>
      </c>
      <c r="C27" t="s">
        <v>7</v>
      </c>
      <c r="D27">
        <v>0.12063214285714299</v>
      </c>
      <c r="E27">
        <v>1.5755870242228801E-2</v>
      </c>
    </row>
    <row r="28" spans="1:5">
      <c r="A28" t="s">
        <v>298</v>
      </c>
      <c r="B28">
        <v>1988</v>
      </c>
      <c r="C28" t="s">
        <v>7</v>
      </c>
      <c r="D28">
        <v>0.14695555555555601</v>
      </c>
      <c r="E28">
        <v>4.25532346335478E-3</v>
      </c>
    </row>
    <row r="29" spans="1:5">
      <c r="A29" t="s">
        <v>298</v>
      </c>
      <c r="B29">
        <v>1989</v>
      </c>
      <c r="C29" t="s">
        <v>3</v>
      </c>
      <c r="D29">
        <v>0.13139166666666699</v>
      </c>
      <c r="E29">
        <v>9.4499118161670368E-3</v>
      </c>
    </row>
    <row r="30" spans="1:5">
      <c r="A30" t="s">
        <v>298</v>
      </c>
      <c r="B30">
        <v>1989</v>
      </c>
      <c r="C30" t="s">
        <v>5</v>
      </c>
      <c r="D30">
        <v>0.124015384615385</v>
      </c>
      <c r="E30">
        <v>8.2835022941030404E-3</v>
      </c>
    </row>
    <row r="31" spans="1:5">
      <c r="A31" t="s">
        <v>298</v>
      </c>
      <c r="B31">
        <v>1989</v>
      </c>
      <c r="C31" t="s">
        <v>7</v>
      </c>
      <c r="D31">
        <v>0.125822222222222</v>
      </c>
      <c r="E31">
        <v>9.3292252864021E-3</v>
      </c>
    </row>
    <row r="32" spans="1:5">
      <c r="A32" t="s">
        <v>310</v>
      </c>
      <c r="B32">
        <v>1986</v>
      </c>
      <c r="C32" t="s">
        <v>3</v>
      </c>
      <c r="D32">
        <v>0.12530303030303</v>
      </c>
      <c r="E32">
        <v>1.0986653404485965E-2</v>
      </c>
    </row>
    <row r="33" spans="1:5">
      <c r="A33" t="s">
        <v>298</v>
      </c>
      <c r="B33">
        <v>1990</v>
      </c>
      <c r="C33" t="s">
        <v>3</v>
      </c>
      <c r="D33">
        <v>0.16200769230769199</v>
      </c>
      <c r="E33">
        <v>4.0729722027166553E-3</v>
      </c>
    </row>
    <row r="34" spans="1:5">
      <c r="A34" t="s">
        <v>310</v>
      </c>
      <c r="B34">
        <v>1986</v>
      </c>
      <c r="C34" t="s">
        <v>5</v>
      </c>
      <c r="D34">
        <v>0.11782121212121199</v>
      </c>
      <c r="E34">
        <v>1.18064007421758E-2</v>
      </c>
    </row>
    <row r="35" spans="1:5">
      <c r="A35" t="s">
        <v>298</v>
      </c>
      <c r="B35">
        <v>1990</v>
      </c>
      <c r="C35" t="s">
        <v>5</v>
      </c>
      <c r="D35">
        <v>0.15599285714285699</v>
      </c>
      <c r="E35">
        <v>6.1523559322005702E-3</v>
      </c>
    </row>
    <row r="36" spans="1:5">
      <c r="A36" t="s">
        <v>310</v>
      </c>
      <c r="B36">
        <v>1986</v>
      </c>
      <c r="C36" t="s">
        <v>7</v>
      </c>
      <c r="D36">
        <v>0.116891176470588</v>
      </c>
      <c r="E36">
        <v>1.27935676936324E-2</v>
      </c>
    </row>
    <row r="37" spans="1:5">
      <c r="A37" t="s">
        <v>298</v>
      </c>
      <c r="B37">
        <v>1990</v>
      </c>
      <c r="C37" t="s">
        <v>7</v>
      </c>
      <c r="D37">
        <v>0.160481818181818</v>
      </c>
      <c r="E37">
        <v>4.8055838733328101E-3</v>
      </c>
    </row>
    <row r="38" spans="1:5">
      <c r="A38" t="s">
        <v>298</v>
      </c>
      <c r="B38">
        <v>1991</v>
      </c>
      <c r="C38" t="s">
        <v>3</v>
      </c>
      <c r="D38">
        <v>0.14117692307692301</v>
      </c>
      <c r="E38">
        <v>4.5816943456458365E-3</v>
      </c>
    </row>
    <row r="39" spans="1:5">
      <c r="A39" t="s">
        <v>298</v>
      </c>
      <c r="B39">
        <v>1991</v>
      </c>
      <c r="C39" t="s">
        <v>5</v>
      </c>
      <c r="D39">
        <v>0.13538333333333299</v>
      </c>
      <c r="E39">
        <v>5.8576807904173302E-3</v>
      </c>
    </row>
    <row r="40" spans="1:5">
      <c r="A40" t="s">
        <v>298</v>
      </c>
      <c r="B40">
        <v>1991</v>
      </c>
      <c r="C40" t="s">
        <v>7</v>
      </c>
      <c r="D40">
        <v>0.142327272727273</v>
      </c>
      <c r="E40">
        <v>6.5029363996722102E-3</v>
      </c>
    </row>
    <row r="41" spans="1:5">
      <c r="A41" t="s">
        <v>310</v>
      </c>
      <c r="B41">
        <v>1987</v>
      </c>
      <c r="C41" t="s">
        <v>3</v>
      </c>
      <c r="D41">
        <v>0.126386111111111</v>
      </c>
      <c r="E41">
        <v>1.0260775598024543E-2</v>
      </c>
    </row>
    <row r="42" spans="1:5">
      <c r="A42" t="s">
        <v>310</v>
      </c>
      <c r="B42">
        <v>1987</v>
      </c>
      <c r="C42" t="s">
        <v>5</v>
      </c>
      <c r="D42">
        <v>0.117308571428571</v>
      </c>
      <c r="E42">
        <v>1.23510030892606E-2</v>
      </c>
    </row>
    <row r="43" spans="1:5">
      <c r="A43" t="s">
        <v>310</v>
      </c>
      <c r="B43">
        <v>1987</v>
      </c>
      <c r="C43" t="s">
        <v>7</v>
      </c>
      <c r="D43">
        <v>0.118363888888889</v>
      </c>
      <c r="E43">
        <v>1.2805069370655699E-2</v>
      </c>
    </row>
    <row r="44" spans="1:5">
      <c r="A44" t="s">
        <v>310</v>
      </c>
      <c r="B44">
        <v>1988</v>
      </c>
      <c r="C44" t="s">
        <v>3</v>
      </c>
      <c r="D44">
        <v>0.12768888888888899</v>
      </c>
      <c r="E44">
        <v>1.1354490056556678E-2</v>
      </c>
    </row>
    <row r="45" spans="1:5">
      <c r="A45" t="s">
        <v>310</v>
      </c>
      <c r="B45">
        <v>1988</v>
      </c>
      <c r="C45" t="s">
        <v>5</v>
      </c>
      <c r="D45">
        <v>0.11818571428571401</v>
      </c>
      <c r="E45">
        <v>1.28552150748964E-2</v>
      </c>
    </row>
    <row r="46" spans="1:5">
      <c r="A46" t="s">
        <v>310</v>
      </c>
      <c r="B46">
        <v>1988</v>
      </c>
      <c r="C46" t="s">
        <v>7</v>
      </c>
      <c r="D46">
        <v>0.119244444444444</v>
      </c>
      <c r="E46">
        <v>1.35999883286594E-2</v>
      </c>
    </row>
    <row r="47" spans="1:5">
      <c r="A47" t="s">
        <v>310</v>
      </c>
      <c r="B47">
        <v>1989</v>
      </c>
      <c r="C47" t="s">
        <v>3</v>
      </c>
      <c r="D47">
        <v>0.129731578947368</v>
      </c>
      <c r="E47">
        <v>7.5165800612993685E-3</v>
      </c>
    </row>
    <row r="48" spans="1:5">
      <c r="A48" t="s">
        <v>310</v>
      </c>
      <c r="B48">
        <v>1989</v>
      </c>
      <c r="C48" t="s">
        <v>5</v>
      </c>
      <c r="D48">
        <v>0.11847222222222201</v>
      </c>
      <c r="E48">
        <v>6.5595126609532799E-3</v>
      </c>
    </row>
    <row r="49" spans="1:5">
      <c r="A49" t="s">
        <v>310</v>
      </c>
      <c r="B49">
        <v>1989</v>
      </c>
      <c r="C49" t="s">
        <v>7</v>
      </c>
      <c r="D49">
        <v>0.11990000000000001</v>
      </c>
      <c r="E49">
        <v>7.7020560025662403E-3</v>
      </c>
    </row>
    <row r="50" spans="1:5">
      <c r="A50" t="s">
        <v>310</v>
      </c>
      <c r="B50">
        <v>1990</v>
      </c>
      <c r="C50" t="s">
        <v>3</v>
      </c>
      <c r="D50">
        <v>0.16094</v>
      </c>
      <c r="E50">
        <v>7.9465937949020956E-3</v>
      </c>
    </row>
    <row r="51" spans="1:5">
      <c r="A51" t="s">
        <v>310</v>
      </c>
      <c r="B51">
        <v>1990</v>
      </c>
      <c r="C51" t="s">
        <v>5</v>
      </c>
      <c r="D51">
        <v>0.15185588235294101</v>
      </c>
      <c r="E51">
        <v>9.5452412759470303E-3</v>
      </c>
    </row>
    <row r="52" spans="1:5">
      <c r="A52" t="s">
        <v>310</v>
      </c>
      <c r="B52">
        <v>1990</v>
      </c>
      <c r="C52" t="s">
        <v>7</v>
      </c>
      <c r="D52">
        <v>0.15309696969697001</v>
      </c>
      <c r="E52">
        <v>9.9329780544559296E-3</v>
      </c>
    </row>
    <row r="53" spans="1:5">
      <c r="A53" t="s">
        <v>310</v>
      </c>
      <c r="B53">
        <v>1991</v>
      </c>
      <c r="C53" t="s">
        <v>3</v>
      </c>
      <c r="D53">
        <v>0.14518</v>
      </c>
      <c r="E53">
        <v>6.5201226982319919E-3</v>
      </c>
    </row>
    <row r="54" spans="1:5">
      <c r="A54" t="s">
        <v>310</v>
      </c>
      <c r="B54">
        <v>1991</v>
      </c>
      <c r="C54" t="s">
        <v>5</v>
      </c>
      <c r="D54">
        <v>0.13638</v>
      </c>
      <c r="E54">
        <v>7.1848451618667401E-3</v>
      </c>
    </row>
    <row r="55" spans="1:5">
      <c r="A55" t="s">
        <v>310</v>
      </c>
      <c r="B55">
        <v>1991</v>
      </c>
      <c r="C55" t="s">
        <v>7</v>
      </c>
      <c r="D55">
        <v>0.14018</v>
      </c>
      <c r="E55">
        <v>9.9101967689849604E-3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393"/>
  <sheetViews>
    <sheetView topLeftCell="AP1" zoomScale="55" zoomScaleNormal="100" workbookViewId="0">
      <selection activeCell="BK26" sqref="BK26"/>
    </sheetView>
  </sheetViews>
  <sheetFormatPr defaultColWidth="9" defaultRowHeight="12.75"/>
  <cols>
    <col min="2" max="2" width="14.42578125" customWidth="1"/>
    <col min="3" max="3" width="13.7109375" customWidth="1"/>
    <col min="7" max="7" width="11.140625" customWidth="1"/>
    <col min="9" max="9" width="11.5703125" customWidth="1"/>
    <col min="11" max="18" width="9.140625"/>
    <col min="22" max="22" width="5.5703125"/>
    <col min="23" max="23" width="23.28515625"/>
    <col min="24" max="25" width="14.140625"/>
    <col min="26" max="26" width="12.85546875"/>
    <col min="27" max="27" width="10.42578125" customWidth="1"/>
    <col min="28" max="29" width="12.28515625" customWidth="1"/>
    <col min="30" max="30" width="10.42578125" customWidth="1"/>
    <col min="31" max="31" width="15.42578125" bestFit="1" customWidth="1"/>
    <col min="32" max="32" width="18.85546875" bestFit="1" customWidth="1"/>
    <col min="33" max="33" width="16.42578125" bestFit="1" customWidth="1"/>
    <col min="34" max="34" width="16" bestFit="1" customWidth="1"/>
    <col min="35" max="35" width="15.85546875" bestFit="1" customWidth="1"/>
    <col min="36" max="36" width="16.42578125" bestFit="1" customWidth="1"/>
    <col min="37" max="37" width="16" bestFit="1" customWidth="1"/>
    <col min="38" max="38" width="21.140625" bestFit="1" customWidth="1"/>
    <col min="39" max="39" width="21.7109375" bestFit="1" customWidth="1"/>
    <col min="40" max="40" width="21.42578125" bestFit="1" customWidth="1"/>
    <col min="41" max="41" width="12.28515625" customWidth="1"/>
    <col min="42" max="42" width="10.42578125" customWidth="1"/>
    <col min="43" max="43" width="24.5703125" bestFit="1" customWidth="1"/>
    <col min="44" max="44" width="18.28515625" bestFit="1" customWidth="1"/>
    <col min="45" max="45" width="9.7109375" bestFit="1" customWidth="1"/>
    <col min="46" max="50" width="13.140625" bestFit="1" customWidth="1"/>
    <col min="51" max="51" width="16.5703125" bestFit="1" customWidth="1"/>
    <col min="52" max="52" width="26" bestFit="1" customWidth="1"/>
    <col min="53" max="53" width="18.28515625" bestFit="1" customWidth="1"/>
    <col min="54" max="55" width="12.5703125" bestFit="1" customWidth="1"/>
    <col min="62" max="62" width="29.140625" bestFit="1" customWidth="1"/>
    <col min="63" max="63" width="18.28515625" bestFit="1" customWidth="1"/>
    <col min="64" max="65" width="12.5703125" bestFit="1" customWidth="1"/>
  </cols>
  <sheetData>
    <row r="1" spans="1:64">
      <c r="A1" s="1" t="s">
        <v>0</v>
      </c>
      <c r="B1" s="1" t="s">
        <v>1</v>
      </c>
      <c r="C1" s="1" t="s">
        <v>2</v>
      </c>
      <c r="D1" s="1" t="s">
        <v>3</v>
      </c>
      <c r="E1" s="1" t="s">
        <v>5</v>
      </c>
      <c r="F1" s="1" t="s">
        <v>7</v>
      </c>
      <c r="G1" s="1" t="s">
        <v>343</v>
      </c>
      <c r="H1" s="1"/>
      <c r="I1" s="1" t="s">
        <v>344</v>
      </c>
      <c r="J1" s="1"/>
      <c r="AK1" t="s">
        <v>1</v>
      </c>
      <c r="AL1" t="s">
        <v>0</v>
      </c>
      <c r="AM1" t="s">
        <v>351</v>
      </c>
      <c r="AN1" t="s">
        <v>352</v>
      </c>
      <c r="AU1" t="s">
        <v>1</v>
      </c>
      <c r="AV1" t="s">
        <v>0</v>
      </c>
      <c r="AW1" t="s">
        <v>351</v>
      </c>
      <c r="AX1" t="s">
        <v>356</v>
      </c>
      <c r="BD1" t="s">
        <v>1</v>
      </c>
      <c r="BE1" t="s">
        <v>0</v>
      </c>
      <c r="BF1" t="s">
        <v>351</v>
      </c>
      <c r="BG1" t="s">
        <v>354</v>
      </c>
      <c r="BH1" t="s">
        <v>356</v>
      </c>
    </row>
    <row r="2" spans="1:64">
      <c r="A2">
        <v>1983</v>
      </c>
      <c r="B2" t="s">
        <v>310</v>
      </c>
      <c r="C2" t="s">
        <v>21</v>
      </c>
      <c r="D2" s="2">
        <v>0.14000000000000001</v>
      </c>
      <c r="E2">
        <v>0.13500000000000001</v>
      </c>
      <c r="F2">
        <v>0.14299999999999999</v>
      </c>
      <c r="G2" s="2">
        <f>SUM(D2:F2)</f>
        <v>0.41799999999999998</v>
      </c>
      <c r="I2" s="1" t="s">
        <v>3</v>
      </c>
      <c r="AK2" t="s">
        <v>350</v>
      </c>
      <c r="AL2">
        <v>1983</v>
      </c>
      <c r="AM2" t="s">
        <v>3</v>
      </c>
      <c r="AN2">
        <v>0.118644444444444</v>
      </c>
      <c r="AU2" t="s">
        <v>298</v>
      </c>
      <c r="AV2">
        <v>1983</v>
      </c>
      <c r="AW2" t="s">
        <v>3</v>
      </c>
      <c r="AX2">
        <v>1.4247904329331155E-2</v>
      </c>
      <c r="BD2" t="s">
        <v>298</v>
      </c>
      <c r="BE2">
        <v>1983</v>
      </c>
      <c r="BF2" t="s">
        <v>3</v>
      </c>
      <c r="BG2">
        <v>0.118644444444444</v>
      </c>
      <c r="BH2">
        <v>1.4247904329331155E-2</v>
      </c>
    </row>
    <row r="3" spans="1:64">
      <c r="A3">
        <v>1983</v>
      </c>
      <c r="B3" t="s">
        <v>310</v>
      </c>
      <c r="C3" t="s">
        <v>25</v>
      </c>
      <c r="D3" s="2">
        <v>0.12</v>
      </c>
      <c r="E3" t="s">
        <v>16</v>
      </c>
      <c r="F3" t="s">
        <v>16</v>
      </c>
      <c r="G3" s="2">
        <f t="shared" ref="G3:G66" si="0">SUM(D3:F3)</f>
        <v>0.12</v>
      </c>
      <c r="J3">
        <v>1983</v>
      </c>
      <c r="K3">
        <v>1984</v>
      </c>
      <c r="L3">
        <v>1985</v>
      </c>
      <c r="M3">
        <v>1986</v>
      </c>
      <c r="N3">
        <v>1987</v>
      </c>
      <c r="O3">
        <v>1988</v>
      </c>
      <c r="P3">
        <v>1989</v>
      </c>
      <c r="Q3">
        <v>1990</v>
      </c>
      <c r="R3">
        <v>1991</v>
      </c>
      <c r="AK3" t="s">
        <v>350</v>
      </c>
      <c r="AL3">
        <v>1983</v>
      </c>
      <c r="AM3" t="s">
        <v>5</v>
      </c>
      <c r="AN3">
        <v>0.11211818181818201</v>
      </c>
      <c r="AU3" t="s">
        <v>298</v>
      </c>
      <c r="AV3">
        <v>1983</v>
      </c>
      <c r="AW3" t="s">
        <v>5</v>
      </c>
      <c r="AX3">
        <v>1.2225450354225937E-2</v>
      </c>
      <c r="BD3" t="s">
        <v>298</v>
      </c>
      <c r="BE3">
        <v>1983</v>
      </c>
      <c r="BF3" t="s">
        <v>5</v>
      </c>
      <c r="BG3">
        <v>0.11211818181818201</v>
      </c>
      <c r="BH3">
        <v>1.2225450354225937E-2</v>
      </c>
    </row>
    <row r="4" spans="1:64">
      <c r="A4">
        <v>1983</v>
      </c>
      <c r="B4" t="s">
        <v>310</v>
      </c>
      <c r="C4" t="s">
        <v>25</v>
      </c>
      <c r="D4" s="2">
        <v>0.12</v>
      </c>
      <c r="E4">
        <v>0.11</v>
      </c>
      <c r="F4">
        <v>0.11</v>
      </c>
      <c r="G4" s="2">
        <f t="shared" si="0"/>
        <v>0.34</v>
      </c>
      <c r="I4" t="s">
        <v>298</v>
      </c>
      <c r="J4" s="2" cm="1">
        <f t="array" ref="J4">_xlfn.STDEV.S(IF(($B$2:$B$393="TRI-COUNTY")*($A$2:$A$393=J3),$D$2:$D$393," "))</f>
        <v>1.4247904329331155E-2</v>
      </c>
      <c r="K4" s="2" cm="1">
        <f t="array" ref="K4">_xlfn.STDEV.S(IF(($B$2:$B$393="TRI-COUNTY")*($A$2:$A$393=K3),$D$2:$D$393," "))</f>
        <v>4.7487132760125382E-3</v>
      </c>
      <c r="L4" s="2" cm="1">
        <f t="array" ref="L4">_xlfn.STDEV.S(IF(($B$2:$B$393="TRI-COUNTY")*($A$2:$A$393=L3),$D$2:$D$393," "))</f>
        <v>5.3426585142604737E-3</v>
      </c>
      <c r="M4" s="2" cm="1">
        <f t="array" ref="M4">_xlfn.STDEV.S(IF(($B$2:$B$393="TRI-COUNTY")*($A$2:$A$393=M3),$D$2:$D$393," "))</f>
        <v>4.4284559636765253E-3</v>
      </c>
      <c r="N4" s="2" cm="1">
        <f t="array" ref="N4">_xlfn.STDEV.S(IF(($B$2:$B$393="TRI-COUNTY")*($A$2:$A$393=N3),$D$2:$D$393," "))</f>
        <v>5.27195984488317E-3</v>
      </c>
      <c r="O4" s="2" cm="1">
        <f t="array" ref="O4">_xlfn.STDEV.S(IF(($B$2:$B$393="TRI-COUNTY")*($A$2:$A$393=O3),$D$2:$D$393," "))</f>
        <v>4.9909008113857428E-3</v>
      </c>
      <c r="P4" s="2" cm="1">
        <f t="array" ref="P4">_xlfn.STDEV.S(IF(($B$2:$B$393="TRI-COUNTY")*($A$2:$A$393=P3),$D$2:$D$393," "))</f>
        <v>9.4499118161670368E-3</v>
      </c>
      <c r="Q4" s="2" cm="1">
        <f t="array" ref="Q4">_xlfn.STDEV.S(IF(($B$2:$B$393="TRI-COUNTY")*($A$2:$A$393=Q3),$D$2:$D$393," "))</f>
        <v>4.0729722027166553E-3</v>
      </c>
      <c r="R4" s="2" cm="1">
        <f t="array" ref="R4">_xlfn.STDEV.S(IF(($B$2:$B$393="TRI-COUNTY")*($A$2:$A$393=R3),$D$2:$D$393," "))</f>
        <v>4.5816943456458365E-3</v>
      </c>
      <c r="AD4" s="19"/>
      <c r="AK4" t="s">
        <v>350</v>
      </c>
      <c r="AL4">
        <v>1983</v>
      </c>
      <c r="AM4" t="s">
        <v>7</v>
      </c>
      <c r="AN4">
        <v>0.10598</v>
      </c>
      <c r="AU4" t="s">
        <v>298</v>
      </c>
      <c r="AV4">
        <v>1983</v>
      </c>
      <c r="AW4" t="s">
        <v>7</v>
      </c>
      <c r="AX4">
        <v>3.9474042103640698E-3</v>
      </c>
      <c r="BD4" t="s">
        <v>298</v>
      </c>
      <c r="BE4">
        <v>1983</v>
      </c>
      <c r="BF4" t="s">
        <v>7</v>
      </c>
      <c r="BG4">
        <v>0.10598</v>
      </c>
      <c r="BH4">
        <v>3.9474042103640698E-3</v>
      </c>
    </row>
    <row r="5" spans="1:64">
      <c r="A5">
        <v>1983</v>
      </c>
      <c r="B5" t="s">
        <v>310</v>
      </c>
      <c r="C5" t="s">
        <v>28</v>
      </c>
      <c r="D5" s="2">
        <v>0.12</v>
      </c>
      <c r="E5">
        <v>0.11899999999999999</v>
      </c>
      <c r="F5">
        <v>0.11899999999999999</v>
      </c>
      <c r="G5" s="2">
        <f t="shared" si="0"/>
        <v>0.35799999999999998</v>
      </c>
      <c r="I5" t="s">
        <v>310</v>
      </c>
      <c r="J5" s="2" cm="1">
        <f t="array" ref="J5">_xlfn.STDEV.S(IF(($B$2:$B$393="SURROUND")*($A$2:$A$393=J3),$D$2:$D$393," "))</f>
        <v>1.4261220532170093E-2</v>
      </c>
      <c r="K5" s="2" cm="1">
        <f t="array" ref="K5">_xlfn.STDEV.S(IF(($B$2:$B$393="SURROUND")*($A$2:$A$393=K3),$D$2:$D$393," "))</f>
        <v>1.3741888595258633E-2</v>
      </c>
      <c r="L5" s="2" cm="1">
        <f t="array" ref="L5">_xlfn.STDEV.S(IF(($B$2:$B$393="SURROUND")*($A$2:$A$393=L3),$D$2:$D$393," "))</f>
        <v>1.3218099479356015E-2</v>
      </c>
      <c r="M5" s="2" cm="1">
        <f t="array" ref="M5">_xlfn.STDEV.S(IF(($B$2:$B$393="SURROUND")*($A$2:$A$393=M3),$D$2:$D$393," "))</f>
        <v>1.0986653404485965E-2</v>
      </c>
      <c r="N5" s="2" cm="1">
        <f t="array" ref="N5">_xlfn.STDEV.S(IF(($B$2:$B$393="SURROUND")*($A$2:$A$393=N3),$D$2:$D$393," "))</f>
        <v>1.0260775598024543E-2</v>
      </c>
      <c r="O5" s="2" cm="1">
        <f t="array" ref="O5">_xlfn.STDEV.S(IF(($B$2:$B$393="SURROUND")*($A$2:$A$393=O3),$D$2:$D$393," "))</f>
        <v>1.1354490056556678E-2</v>
      </c>
      <c r="P5" s="2" cm="1">
        <f t="array" ref="P5">_xlfn.STDEV.S(IF(($B$2:$B$393="SURROUND")*($A$2:$A$393=P3),$D$2:$D$393," "))</f>
        <v>7.5165800612993685E-3</v>
      </c>
      <c r="Q5" s="2" cm="1">
        <f t="array" ref="Q5">_xlfn.STDEV.S(IF(($B$2:$B$393="SURROUND")*($A$2:$A$393=Q3),$D$2:$D$393," "))</f>
        <v>7.9465937949020956E-3</v>
      </c>
      <c r="R5" s="2" cm="1">
        <f t="array" ref="R5">_xlfn.STDEV.S(IF(($B$2:$B$393="SURROUND")*($A$2:$A$393=R3),$D$2:$D$393," "))</f>
        <v>6.5201226982319919E-3</v>
      </c>
      <c r="AD5" s="19"/>
      <c r="AK5" t="s">
        <v>342</v>
      </c>
      <c r="AL5">
        <v>1983</v>
      </c>
      <c r="AM5" t="s">
        <v>3</v>
      </c>
      <c r="AN5">
        <v>0.13171739130434801</v>
      </c>
      <c r="AU5" t="s">
        <v>298</v>
      </c>
      <c r="AV5">
        <v>1984</v>
      </c>
      <c r="AW5" t="s">
        <v>3</v>
      </c>
      <c r="AX5">
        <v>4.7487132760125382E-3</v>
      </c>
      <c r="BD5" t="s">
        <v>310</v>
      </c>
      <c r="BE5">
        <v>1983</v>
      </c>
      <c r="BF5" t="s">
        <v>3</v>
      </c>
      <c r="BG5">
        <v>0.13171739130434801</v>
      </c>
      <c r="BH5">
        <v>1.4261220532170093E-2</v>
      </c>
    </row>
    <row r="6" spans="1:64">
      <c r="A6">
        <v>1983</v>
      </c>
      <c r="B6" t="s">
        <v>310</v>
      </c>
      <c r="C6" t="s">
        <v>18</v>
      </c>
      <c r="D6" s="2" t="s">
        <v>345</v>
      </c>
      <c r="E6">
        <v>0.1143</v>
      </c>
      <c r="F6">
        <v>0.1143</v>
      </c>
      <c r="G6" s="2">
        <f t="shared" si="0"/>
        <v>0.2286</v>
      </c>
      <c r="AD6" s="19"/>
      <c r="AK6" t="s">
        <v>342</v>
      </c>
      <c r="AL6">
        <v>1983</v>
      </c>
      <c r="AM6" t="s">
        <v>5</v>
      </c>
      <c r="AN6">
        <v>0.124468</v>
      </c>
      <c r="AO6" s="2"/>
      <c r="AU6" t="s">
        <v>298</v>
      </c>
      <c r="AV6">
        <v>1984</v>
      </c>
      <c r="AW6" t="s">
        <v>5</v>
      </c>
      <c r="AX6">
        <v>6.3571660829382596E-3</v>
      </c>
      <c r="BD6" t="s">
        <v>298</v>
      </c>
      <c r="BE6">
        <v>1984</v>
      </c>
      <c r="BF6" t="s">
        <v>3</v>
      </c>
      <c r="BG6">
        <v>0.13885555555555601</v>
      </c>
      <c r="BH6">
        <v>4.7487132760125382E-3</v>
      </c>
    </row>
    <row r="7" spans="1:64">
      <c r="A7">
        <v>1983</v>
      </c>
      <c r="B7" t="s">
        <v>310</v>
      </c>
      <c r="C7" t="s">
        <v>25</v>
      </c>
      <c r="D7" s="2">
        <v>0.12</v>
      </c>
      <c r="E7">
        <v>0.11</v>
      </c>
      <c r="F7">
        <v>0.11</v>
      </c>
      <c r="G7" s="2">
        <f t="shared" si="0"/>
        <v>0.34</v>
      </c>
      <c r="R7" t="s">
        <v>16</v>
      </c>
      <c r="AD7" s="19"/>
      <c r="AK7" t="s">
        <v>342</v>
      </c>
      <c r="AL7">
        <v>1983</v>
      </c>
      <c r="AM7" t="s">
        <v>7</v>
      </c>
      <c r="AN7">
        <v>0.12661600000000001</v>
      </c>
      <c r="AO7" s="2"/>
      <c r="AU7" t="s">
        <v>298</v>
      </c>
      <c r="AV7">
        <v>1984</v>
      </c>
      <c r="AW7" t="s">
        <v>7</v>
      </c>
      <c r="AX7">
        <v>7.7852210416061197E-3</v>
      </c>
      <c r="BD7" t="s">
        <v>310</v>
      </c>
      <c r="BE7">
        <v>1983</v>
      </c>
      <c r="BF7" t="s">
        <v>5</v>
      </c>
      <c r="BG7">
        <v>0.124468</v>
      </c>
      <c r="BH7">
        <v>1.6403651016364099E-2</v>
      </c>
    </row>
    <row r="8" spans="1:64">
      <c r="A8">
        <v>1983</v>
      </c>
      <c r="B8" t="s">
        <v>310</v>
      </c>
      <c r="C8" t="s">
        <v>31</v>
      </c>
      <c r="D8" s="2">
        <v>0.1225</v>
      </c>
      <c r="E8">
        <v>0.1225</v>
      </c>
      <c r="F8">
        <v>0.1225</v>
      </c>
      <c r="G8" s="2">
        <f t="shared" si="0"/>
        <v>0.36749999999999999</v>
      </c>
      <c r="I8" s="1" t="s">
        <v>5</v>
      </c>
      <c r="AD8" s="19"/>
      <c r="AK8" t="s">
        <v>350</v>
      </c>
      <c r="AL8">
        <v>1984</v>
      </c>
      <c r="AM8" t="s">
        <v>3</v>
      </c>
      <c r="AN8">
        <v>0.13885555555555601</v>
      </c>
      <c r="AO8" s="2"/>
      <c r="AU8" t="s">
        <v>298</v>
      </c>
      <c r="AV8">
        <v>1985</v>
      </c>
      <c r="AW8" t="s">
        <v>3</v>
      </c>
      <c r="AX8">
        <v>5.3426585142604737E-3</v>
      </c>
      <c r="BD8" t="s">
        <v>298</v>
      </c>
      <c r="BE8">
        <v>1984</v>
      </c>
      <c r="BF8" t="s">
        <v>5</v>
      </c>
      <c r="BG8">
        <v>0.133841666666667</v>
      </c>
      <c r="BH8">
        <v>6.3571660829382596E-3</v>
      </c>
    </row>
    <row r="9" spans="1:64">
      <c r="A9">
        <v>1983</v>
      </c>
      <c r="B9" t="s">
        <v>310</v>
      </c>
      <c r="C9" t="s">
        <v>25</v>
      </c>
      <c r="D9" s="2">
        <v>0.12</v>
      </c>
      <c r="E9" t="s">
        <v>16</v>
      </c>
      <c r="F9">
        <v>0.11</v>
      </c>
      <c r="G9" s="2">
        <f t="shared" si="0"/>
        <v>0.23</v>
      </c>
      <c r="J9">
        <v>1983</v>
      </c>
      <c r="K9">
        <v>1984</v>
      </c>
      <c r="L9">
        <v>1985</v>
      </c>
      <c r="M9">
        <v>1986</v>
      </c>
      <c r="N9">
        <v>1987</v>
      </c>
      <c r="O9">
        <v>1988</v>
      </c>
      <c r="P9">
        <v>1989</v>
      </c>
      <c r="Q9">
        <v>1990</v>
      </c>
      <c r="R9">
        <v>1991</v>
      </c>
      <c r="AD9" s="19"/>
      <c r="AK9" t="s">
        <v>350</v>
      </c>
      <c r="AL9">
        <v>1984</v>
      </c>
      <c r="AM9" t="s">
        <v>5</v>
      </c>
      <c r="AN9">
        <v>0.133841666666667</v>
      </c>
      <c r="AU9" t="s">
        <v>298</v>
      </c>
      <c r="AV9">
        <v>1985</v>
      </c>
      <c r="AW9" t="s">
        <v>5</v>
      </c>
      <c r="AX9">
        <v>5.3744528642219501E-3</v>
      </c>
      <c r="BD9" t="s">
        <v>310</v>
      </c>
      <c r="BE9">
        <v>1983</v>
      </c>
      <c r="BF9" t="s">
        <v>7</v>
      </c>
      <c r="BG9">
        <v>0.12661600000000001</v>
      </c>
      <c r="BH9">
        <v>1.6615045390649001E-2</v>
      </c>
    </row>
    <row r="10" spans="1:64">
      <c r="A10">
        <v>1983</v>
      </c>
      <c r="B10" t="s">
        <v>310</v>
      </c>
      <c r="C10" t="s">
        <v>31</v>
      </c>
      <c r="D10" s="2">
        <v>0.129</v>
      </c>
      <c r="E10">
        <v>0.122</v>
      </c>
      <c r="F10">
        <v>0.122</v>
      </c>
      <c r="G10" s="2">
        <f t="shared" si="0"/>
        <v>0.373</v>
      </c>
      <c r="I10" t="s">
        <v>298</v>
      </c>
      <c r="J10" s="2" cm="1">
        <f t="array" ref="J10">_xlfn.STDEV.S(IF(($B$2:$B$393="TRI-COUNTY")*($A$2:$A$393=J9),$E$2:$E$393," "))</f>
        <v>1.2225450354225937E-2</v>
      </c>
      <c r="K10" s="2" cm="1">
        <f t="array" ref="K10">_xlfn.STDEV.S(IF(($B$2:$B$393="TRI-COUNTY")*($A$2:$A$393=K9),$E$2:$E$393," "))</f>
        <v>6.3571660829382596E-3</v>
      </c>
      <c r="L10" s="2" cm="1">
        <f t="array" ref="L10">_xlfn.STDEV.S(IF(($B$2:$B$393="TRI-COUNTY")*($A$2:$A$393=L9),$E$2:$E$393," "))</f>
        <v>5.3744528642219501E-3</v>
      </c>
      <c r="M10" s="2" cm="1">
        <f t="array" ref="M10">_xlfn.STDEV.S(IF(($B$2:$B$393="TRI-COUNTY")*($A$2:$A$393=M9),$E$2:$E$393," "))</f>
        <v>5.3320511279215197E-3</v>
      </c>
      <c r="N10" s="2" cm="1">
        <f t="array" ref="N10">_xlfn.STDEV.S(IF(($B$2:$B$393="TRI-COUNTY")*($A$2:$A$393=N9),$E$2:$E$393," "))</f>
        <v>7.0173776970881103E-3</v>
      </c>
      <c r="O10" s="2" cm="1">
        <f t="array" ref="O10">_xlfn.STDEV.S(IF(($B$2:$B$393="TRI-COUNTY")*($A$2:$A$393=O9),$E$2:$E$393," "))</f>
        <v>6.1801896079120098E-3</v>
      </c>
      <c r="P10" s="2" cm="1">
        <f t="array" ref="P10">_xlfn.STDEV.S(IF(($B$2:$B$393="TRI-COUNTY")*($A$2:$A$393=P9),$E$2:$E$393," "))</f>
        <v>8.2835022941030404E-3</v>
      </c>
      <c r="Q10" s="2" cm="1">
        <f t="array" ref="Q10">_xlfn.STDEV.S(IF(($B$2:$B$393="TRI-COUNTY")*($A$2:$A$393=Q9),$E$2:$E$393," "))</f>
        <v>6.1523559322005702E-3</v>
      </c>
      <c r="R10" s="2" cm="1">
        <f t="array" ref="R10">_xlfn.STDEV.S(IF(($B$2:$B$393="TRI-COUNTY")*($A$2:$A$393=R9),$E$2:$E$393," "))</f>
        <v>5.8576807904173302E-3</v>
      </c>
      <c r="AK10" t="s">
        <v>350</v>
      </c>
      <c r="AL10">
        <v>1984</v>
      </c>
      <c r="AM10" t="s">
        <v>7</v>
      </c>
      <c r="AN10">
        <v>0.13468333333333299</v>
      </c>
      <c r="AU10" t="s">
        <v>298</v>
      </c>
      <c r="AV10">
        <v>1985</v>
      </c>
      <c r="AW10" t="s">
        <v>7</v>
      </c>
      <c r="AX10">
        <v>6.2191371320036602E-3</v>
      </c>
      <c r="BD10" t="s">
        <v>298</v>
      </c>
      <c r="BE10">
        <v>1984</v>
      </c>
      <c r="BF10" t="s">
        <v>7</v>
      </c>
      <c r="BG10">
        <v>0.13468333333333299</v>
      </c>
      <c r="BH10">
        <v>7.7852210416061197E-3</v>
      </c>
    </row>
    <row r="11" spans="1:64">
      <c r="A11">
        <v>1983</v>
      </c>
      <c r="B11" t="s">
        <v>310</v>
      </c>
      <c r="C11" t="s">
        <v>39</v>
      </c>
      <c r="D11" s="2">
        <v>0.13750000000000001</v>
      </c>
      <c r="E11">
        <v>0.13300000000000001</v>
      </c>
      <c r="F11">
        <v>0.14249999999999999</v>
      </c>
      <c r="G11" s="2">
        <f t="shared" si="0"/>
        <v>0.41299999999999998</v>
      </c>
      <c r="I11" t="s">
        <v>310</v>
      </c>
      <c r="J11" s="2" cm="1">
        <f t="array" ref="J11">_xlfn.STDEV.S(IF(($B$2:$B$393="SURROUND")*($A$2:$A$393=J9),$E$2:$E$393," "))</f>
        <v>1.6403651016364099E-2</v>
      </c>
      <c r="K11" s="2" cm="1">
        <f t="array" ref="K11">_xlfn.STDEV.S(IF(($B$2:$B$393="SURROUND")*($A$2:$A$393=K9),$E$2:$E$393," "))</f>
        <v>1.46985922926182E-2</v>
      </c>
      <c r="L11" s="2" cm="1">
        <f t="array" ref="L11">_xlfn.STDEV.S(IF(($B$2:$B$393="SURROUND")*($A$2:$A$393=L9),$E$2:$E$393," "))</f>
        <v>1.4522454161636901E-2</v>
      </c>
      <c r="M11" s="2" cm="1">
        <f t="array" ref="M11">_xlfn.STDEV.S(IF(($B$2:$B$393="SURROUND")*($A$2:$A$393=M9),$E$2:$E$393," "))</f>
        <v>1.18064007421758E-2</v>
      </c>
      <c r="N11" s="2" cm="1">
        <f t="array" ref="N11">_xlfn.STDEV.S(IF(($B$2:$B$393="SURROUND")*($A$2:$A$393=N9),$E$2:$E$393," "))</f>
        <v>1.23510030892606E-2</v>
      </c>
      <c r="O11" s="2" cm="1">
        <f t="array" ref="O11">_xlfn.STDEV.S(IF(($B$2:$B$393="SURROUND")*($A$2:$A$393=O9),$E$2:$E$393," "))</f>
        <v>1.28552150748964E-2</v>
      </c>
      <c r="P11" s="2" cm="1">
        <f t="array" ref="P11">_xlfn.STDEV.S(IF(($B$2:$B$393="SURROUND")*($A$2:$A$393=P9),$E$2:$E$393," "))</f>
        <v>6.5595126609532799E-3</v>
      </c>
      <c r="Q11" s="2" cm="1">
        <f t="array" ref="Q11">_xlfn.STDEV.S(IF(($B$2:$B$393="SURROUND")*($A$2:$A$393=Q9),$E$2:$E$393," "))</f>
        <v>9.5452412759470303E-3</v>
      </c>
      <c r="R11" s="2" cm="1">
        <f t="array" ref="R11">_xlfn.STDEV.S(IF(($B$2:$B$393="SURROUND")*($A$2:$A$393=R9),$E$2:$E$393," "))</f>
        <v>7.1848451618667401E-3</v>
      </c>
      <c r="AK11" t="s">
        <v>342</v>
      </c>
      <c r="AL11">
        <v>1984</v>
      </c>
      <c r="AM11" t="s">
        <v>3</v>
      </c>
      <c r="AN11">
        <v>0.13089545454545501</v>
      </c>
      <c r="AU11" t="s">
        <v>298</v>
      </c>
      <c r="AV11">
        <v>1986</v>
      </c>
      <c r="AW11" t="s">
        <v>3</v>
      </c>
      <c r="AX11">
        <v>4.4284559636765253E-3</v>
      </c>
      <c r="BD11" t="s">
        <v>298</v>
      </c>
      <c r="BE11">
        <v>1985</v>
      </c>
      <c r="BF11" t="s">
        <v>3</v>
      </c>
      <c r="BG11">
        <v>0.14152000000000001</v>
      </c>
      <c r="BH11">
        <v>5.3426585142604737E-3</v>
      </c>
      <c r="BJ11" s="18" t="s">
        <v>351</v>
      </c>
      <c r="BK11" t="s">
        <v>3</v>
      </c>
    </row>
    <row r="12" spans="1:64">
      <c r="A12">
        <v>1983</v>
      </c>
      <c r="B12" t="s">
        <v>310</v>
      </c>
      <c r="C12" t="s">
        <v>41</v>
      </c>
      <c r="D12" s="2">
        <v>0.13700000000000001</v>
      </c>
      <c r="E12">
        <v>0.1116</v>
      </c>
      <c r="F12">
        <v>0.13250000000000001</v>
      </c>
      <c r="G12" s="2">
        <f t="shared" si="0"/>
        <v>0.38109999999999999</v>
      </c>
      <c r="AK12" t="s">
        <v>342</v>
      </c>
      <c r="AL12">
        <v>1984</v>
      </c>
      <c r="AM12" t="s">
        <v>5</v>
      </c>
      <c r="AN12">
        <v>0.123569230769231</v>
      </c>
      <c r="AU12" t="s">
        <v>298</v>
      </c>
      <c r="AV12">
        <v>1986</v>
      </c>
      <c r="AW12" t="s">
        <v>5</v>
      </c>
      <c r="AX12">
        <v>5.3320511279215197E-3</v>
      </c>
      <c r="BD12" t="s">
        <v>298</v>
      </c>
      <c r="BE12">
        <v>1985</v>
      </c>
      <c r="BF12" t="s">
        <v>5</v>
      </c>
      <c r="BG12">
        <v>0.136584615384615</v>
      </c>
      <c r="BH12">
        <v>5.3744528642219501E-3</v>
      </c>
    </row>
    <row r="13" spans="1:64">
      <c r="A13">
        <v>1983</v>
      </c>
      <c r="B13" t="s">
        <v>310</v>
      </c>
      <c r="C13" t="s">
        <v>25</v>
      </c>
      <c r="D13" s="2">
        <v>0.125</v>
      </c>
      <c r="E13">
        <v>0.125</v>
      </c>
      <c r="F13">
        <v>0.125</v>
      </c>
      <c r="G13" s="2">
        <f t="shared" si="0"/>
        <v>0.375</v>
      </c>
      <c r="AK13" t="s">
        <v>342</v>
      </c>
      <c r="AL13">
        <v>1984</v>
      </c>
      <c r="AM13" t="s">
        <v>7</v>
      </c>
      <c r="AN13">
        <v>0.125112</v>
      </c>
      <c r="AU13" t="s">
        <v>298</v>
      </c>
      <c r="AV13">
        <v>1986</v>
      </c>
      <c r="AW13" t="s">
        <v>7</v>
      </c>
      <c r="AX13">
        <v>5.2113018207225999E-3</v>
      </c>
      <c r="BD13" t="s">
        <v>298</v>
      </c>
      <c r="BE13">
        <v>1985</v>
      </c>
      <c r="BF13" t="s">
        <v>7</v>
      </c>
      <c r="BG13">
        <v>0.13871666666666699</v>
      </c>
      <c r="BH13">
        <v>6.2191371320036602E-3</v>
      </c>
      <c r="BJ13" s="18" t="s">
        <v>357</v>
      </c>
      <c r="BK13" s="18" t="s">
        <v>306</v>
      </c>
    </row>
    <row r="14" spans="1:64">
      <c r="A14">
        <v>1983</v>
      </c>
      <c r="B14" t="s">
        <v>310</v>
      </c>
      <c r="C14" t="s">
        <v>43</v>
      </c>
      <c r="D14" s="2">
        <v>0.13</v>
      </c>
      <c r="E14">
        <v>0.12</v>
      </c>
      <c r="F14">
        <v>0.125</v>
      </c>
      <c r="G14" s="2">
        <f t="shared" si="0"/>
        <v>0.375</v>
      </c>
      <c r="I14" s="1" t="s">
        <v>7</v>
      </c>
      <c r="AK14" t="s">
        <v>350</v>
      </c>
      <c r="AL14">
        <v>1985</v>
      </c>
      <c r="AM14" t="s">
        <v>3</v>
      </c>
      <c r="AN14">
        <v>0.14152000000000001</v>
      </c>
      <c r="AU14" t="s">
        <v>298</v>
      </c>
      <c r="AV14">
        <v>1987</v>
      </c>
      <c r="AW14" t="s">
        <v>3</v>
      </c>
      <c r="AX14">
        <v>5.27195984488317E-3</v>
      </c>
      <c r="BD14" t="s">
        <v>310</v>
      </c>
      <c r="BE14">
        <v>1984</v>
      </c>
      <c r="BF14" t="s">
        <v>3</v>
      </c>
      <c r="BG14">
        <v>0.13089545454545501</v>
      </c>
      <c r="BH14">
        <v>1.3741888595258633E-2</v>
      </c>
      <c r="BJ14" s="18" t="s">
        <v>309</v>
      </c>
      <c r="BK14" t="s">
        <v>310</v>
      </c>
      <c r="BL14" t="s">
        <v>298</v>
      </c>
    </row>
    <row r="15" spans="1:64">
      <c r="A15">
        <v>1983</v>
      </c>
      <c r="B15" t="s">
        <v>310</v>
      </c>
      <c r="C15" t="s">
        <v>222</v>
      </c>
      <c r="D15" s="2" t="s">
        <v>345</v>
      </c>
      <c r="E15">
        <v>0.13200000000000001</v>
      </c>
      <c r="F15">
        <v>0.13400000000000001</v>
      </c>
      <c r="G15" s="2">
        <f t="shared" si="0"/>
        <v>0.26600000000000001</v>
      </c>
      <c r="J15">
        <v>1983</v>
      </c>
      <c r="K15">
        <v>1984</v>
      </c>
      <c r="L15">
        <v>1985</v>
      </c>
      <c r="M15">
        <v>1986</v>
      </c>
      <c r="N15">
        <v>1987</v>
      </c>
      <c r="O15">
        <v>1988</v>
      </c>
      <c r="P15">
        <v>1989</v>
      </c>
      <c r="Q15">
        <v>1990</v>
      </c>
      <c r="R15">
        <v>1991</v>
      </c>
      <c r="AK15" t="s">
        <v>350</v>
      </c>
      <c r="AL15">
        <v>1985</v>
      </c>
      <c r="AM15" t="s">
        <v>5</v>
      </c>
      <c r="AN15">
        <v>0.136584615384615</v>
      </c>
      <c r="AU15" t="s">
        <v>298</v>
      </c>
      <c r="AV15">
        <v>1987</v>
      </c>
      <c r="AW15" t="s">
        <v>5</v>
      </c>
      <c r="AX15">
        <v>7.0173776970881103E-3</v>
      </c>
      <c r="BD15" t="s">
        <v>298</v>
      </c>
      <c r="BE15">
        <v>1986</v>
      </c>
      <c r="BF15" t="s">
        <v>3</v>
      </c>
      <c r="BG15">
        <v>0.14463000000000001</v>
      </c>
      <c r="BH15">
        <v>4.4284559636765253E-3</v>
      </c>
      <c r="BJ15" s="3">
        <v>1983</v>
      </c>
      <c r="BK15" s="20">
        <v>1.4261220532170093E-2</v>
      </c>
      <c r="BL15" s="20">
        <v>1.4247904329331155E-2</v>
      </c>
    </row>
    <row r="16" spans="1:64">
      <c r="A16">
        <v>1983</v>
      </c>
      <c r="B16" t="s">
        <v>310</v>
      </c>
      <c r="C16" t="s">
        <v>28</v>
      </c>
      <c r="D16" s="2">
        <v>0.1525</v>
      </c>
      <c r="E16">
        <v>0.15</v>
      </c>
      <c r="F16">
        <v>0.15</v>
      </c>
      <c r="G16" s="2">
        <f t="shared" si="0"/>
        <v>0.45250000000000001</v>
      </c>
      <c r="I16" t="s">
        <v>298</v>
      </c>
      <c r="J16" s="2" cm="1">
        <f t="array" ref="J16">_xlfn.STDEV.S(IF(($B$2:$B$393="TRI-COUNTY")*($A$2:$A$393=J15),$F$2:$F$393," "))</f>
        <v>3.9474042103640698E-3</v>
      </c>
      <c r="K16" s="2" cm="1">
        <f t="array" ref="K16">_xlfn.STDEV.S(IF(($B$2:$B$393="TRI-COUNTY")*($A$2:$A$393=K15),$F$2:$F$393," "))</f>
        <v>7.7852210416061197E-3</v>
      </c>
      <c r="L16" s="2" cm="1">
        <f t="array" ref="L16">_xlfn.STDEV.S(IF(($B$2:$B$393="TRI-COUNTY")*($A$2:$A$393=L15),$F$2:$F$393," "))</f>
        <v>6.2191371320036602E-3</v>
      </c>
      <c r="M16" s="2" cm="1">
        <f t="array" ref="M16">_xlfn.STDEV.S(IF(($B$2:$B$393="TRI-COUNTY")*($A$2:$A$393=M15),$F$2:$F$393," "))</f>
        <v>5.2113018207225999E-3</v>
      </c>
      <c r="N16" s="2" cm="1">
        <f t="array" ref="N16">_xlfn.STDEV.S(IF(($B$2:$B$393="TRI-COUNTY")*($A$2:$A$393=N15),$F$2:$F$393," "))</f>
        <v>6.3292593413071504E-3</v>
      </c>
      <c r="O16" s="2" cm="1">
        <f t="array" ref="O16">_xlfn.STDEV.S(IF(($B$2:$B$393="TRI-COUNTY")*($A$2:$A$393=O15),$F$2:$F$393," "))</f>
        <v>4.25532346335478E-3</v>
      </c>
      <c r="P16" s="2" cm="1">
        <f t="array" ref="P16">_xlfn.STDEV.S(IF(($B$2:$B$393="TRI-COUNTY")*($A$2:$A$393=P15),$F$2:$F$393," "))</f>
        <v>9.3292252864021E-3</v>
      </c>
      <c r="Q16" s="2" cm="1">
        <f t="array" ref="Q16">_xlfn.STDEV.S(IF(($B$2:$B$393="TRI-COUNTY")*($A$2:$A$393=Q15),$F$2:$F$393," "))</f>
        <v>4.8055838733328101E-3</v>
      </c>
      <c r="R16" s="2" cm="1">
        <f t="array" ref="R16">_xlfn.STDEV.S(IF(($B$2:$B$393="TRI-COUNTY")*($A$2:$A$393=R15),$F$2:$F$393," "))</f>
        <v>6.5029363996722102E-3</v>
      </c>
      <c r="AK16" t="s">
        <v>350</v>
      </c>
      <c r="AL16">
        <v>1985</v>
      </c>
      <c r="AM16" t="s">
        <v>7</v>
      </c>
      <c r="AN16">
        <v>0.13871666666666699</v>
      </c>
      <c r="AU16" t="s">
        <v>298</v>
      </c>
      <c r="AV16">
        <v>1987</v>
      </c>
      <c r="AW16" t="s">
        <v>7</v>
      </c>
      <c r="AX16">
        <v>6.3292593413071504E-3</v>
      </c>
      <c r="BD16" t="s">
        <v>310</v>
      </c>
      <c r="BE16">
        <v>1984</v>
      </c>
      <c r="BF16" t="s">
        <v>5</v>
      </c>
      <c r="BG16">
        <v>0.123569230769231</v>
      </c>
      <c r="BH16">
        <v>1.46985922926182E-2</v>
      </c>
      <c r="BJ16" s="3">
        <v>1984</v>
      </c>
      <c r="BK16" s="20">
        <v>1.3741888595258633E-2</v>
      </c>
      <c r="BL16" s="20">
        <v>4.7487132760125382E-3</v>
      </c>
    </row>
    <row r="17" spans="1:64">
      <c r="A17">
        <v>1983</v>
      </c>
      <c r="B17" t="s">
        <v>310</v>
      </c>
      <c r="C17" t="s">
        <v>100</v>
      </c>
      <c r="D17" s="2" t="s">
        <v>345</v>
      </c>
      <c r="E17">
        <v>0.115</v>
      </c>
      <c r="F17">
        <v>0.1148</v>
      </c>
      <c r="G17" s="2">
        <f t="shared" si="0"/>
        <v>0.2298</v>
      </c>
      <c r="I17" t="s">
        <v>310</v>
      </c>
      <c r="J17" s="2" cm="1">
        <f t="array" ref="J17">_xlfn.STDEV.S(IF(($B$2:$B$393="SURROUND")*($A$2:$A$393=J15),$F$2:$F$393," "))</f>
        <v>1.6615045390649001E-2</v>
      </c>
      <c r="K17" s="2" cm="1">
        <f t="array" ref="K17">_xlfn.STDEV.S(IF(($B$2:$B$393="SURROUND")*($A$2:$A$393=K15),$F$2:$F$393," "))</f>
        <v>1.5301560922555101E-2</v>
      </c>
      <c r="L17" s="2" cm="1">
        <f t="array" ref="L17">_xlfn.STDEV.S(IF(($B$2:$B$393="SURROUND")*($A$2:$A$393=L15),$F$2:$F$393," "))</f>
        <v>1.5755870242228801E-2</v>
      </c>
      <c r="M17" s="2" cm="1">
        <f t="array" ref="M17">_xlfn.STDEV.S(IF(($B$2:$B$393="SURROUND")*($A$2:$A$393=M15),$F$2:$F$393," "))</f>
        <v>1.27935676936324E-2</v>
      </c>
      <c r="N17" s="2" cm="1">
        <f t="array" ref="N17">_xlfn.STDEV.S(IF(($B$2:$B$393="SURROUND")*($A$2:$A$393=N15),$F$2:$F$393," "))</f>
        <v>1.2805069370655699E-2</v>
      </c>
      <c r="O17" s="2" cm="1">
        <f t="array" ref="O17">_xlfn.STDEV.S(IF(($B$2:$B$393="SURROUND")*($A$2:$A$393=O15),$F$2:$F$393," "))</f>
        <v>1.35999883286594E-2</v>
      </c>
      <c r="P17" s="2" cm="1">
        <f t="array" ref="P17">_xlfn.STDEV.S(IF(($B$2:$B$393="SURROUND")*($A$2:$A$393=P15),$F$2:$F$393," "))</f>
        <v>7.7020560025662403E-3</v>
      </c>
      <c r="Q17" s="2" cm="1">
        <f t="array" ref="Q17">_xlfn.STDEV.S(IF(($B$2:$B$393="SURROUND")*($A$2:$A$393=Q15),$F$2:$F$393," "))</f>
        <v>9.9329780544559296E-3</v>
      </c>
      <c r="R17" s="2" cm="1">
        <f t="array" ref="R17">_xlfn.STDEV.S(IF(($B$2:$B$393="SURROUND")*($A$2:$A$393=R15),$F$2:$F$393," "))</f>
        <v>9.9101967689849604E-3</v>
      </c>
      <c r="AK17" t="s">
        <v>342</v>
      </c>
      <c r="AL17">
        <v>1985</v>
      </c>
      <c r="AM17" t="s">
        <v>3</v>
      </c>
      <c r="AN17">
        <v>0.12791538461538501</v>
      </c>
      <c r="AU17" t="s">
        <v>298</v>
      </c>
      <c r="AV17">
        <v>1988</v>
      </c>
      <c r="AW17" t="s">
        <v>3</v>
      </c>
      <c r="AX17">
        <v>4.9909008113857428E-3</v>
      </c>
      <c r="BD17" t="s">
        <v>298</v>
      </c>
      <c r="BE17">
        <v>1986</v>
      </c>
      <c r="BF17" t="s">
        <v>5</v>
      </c>
      <c r="BG17">
        <v>0.13909230769230799</v>
      </c>
      <c r="BH17">
        <v>5.3320511279215197E-3</v>
      </c>
      <c r="BJ17" s="3">
        <v>1985</v>
      </c>
      <c r="BK17" s="20">
        <v>1.3218099479356015E-2</v>
      </c>
      <c r="BL17" s="20">
        <v>5.3426585142604737E-3</v>
      </c>
    </row>
    <row r="18" spans="1:64">
      <c r="A18">
        <v>1983</v>
      </c>
      <c r="B18" t="s">
        <v>310</v>
      </c>
      <c r="C18" t="s">
        <v>55</v>
      </c>
      <c r="D18" s="2">
        <v>0.1275</v>
      </c>
      <c r="E18">
        <v>0.12</v>
      </c>
      <c r="F18">
        <v>0.12</v>
      </c>
      <c r="G18" s="2">
        <f t="shared" si="0"/>
        <v>0.36749999999999999</v>
      </c>
      <c r="AK18" t="s">
        <v>342</v>
      </c>
      <c r="AL18">
        <v>1985</v>
      </c>
      <c r="AM18" t="s">
        <v>5</v>
      </c>
      <c r="AN18">
        <v>0.119989655172414</v>
      </c>
      <c r="AU18" t="s">
        <v>298</v>
      </c>
      <c r="AV18">
        <v>1988</v>
      </c>
      <c r="AW18" t="s">
        <v>5</v>
      </c>
      <c r="AX18">
        <v>6.1801896079120098E-3</v>
      </c>
      <c r="BD18" t="s">
        <v>310</v>
      </c>
      <c r="BE18">
        <v>1984</v>
      </c>
      <c r="BF18" t="s">
        <v>7</v>
      </c>
      <c r="BG18">
        <v>0.125112</v>
      </c>
      <c r="BH18">
        <v>1.5301560922555101E-2</v>
      </c>
      <c r="BJ18" s="3">
        <v>1986</v>
      </c>
      <c r="BK18" s="20">
        <v>1.0986653404485965E-2</v>
      </c>
      <c r="BL18" s="20">
        <v>4.4284559636765253E-3</v>
      </c>
    </row>
    <row r="19" spans="1:64">
      <c r="A19">
        <v>1983</v>
      </c>
      <c r="B19" t="s">
        <v>310</v>
      </c>
      <c r="C19" t="s">
        <v>18</v>
      </c>
      <c r="D19" s="2">
        <v>0.11700000000000001</v>
      </c>
      <c r="E19" t="s">
        <v>16</v>
      </c>
      <c r="F19" t="s">
        <v>16</v>
      </c>
      <c r="G19" s="2">
        <f t="shared" si="0"/>
        <v>0.11700000000000001</v>
      </c>
      <c r="AK19" t="s">
        <v>342</v>
      </c>
      <c r="AL19">
        <v>1985</v>
      </c>
      <c r="AM19" t="s">
        <v>7</v>
      </c>
      <c r="AN19">
        <v>0.12063214285714299</v>
      </c>
      <c r="AU19" t="s">
        <v>298</v>
      </c>
      <c r="AV19">
        <v>1988</v>
      </c>
      <c r="AW19" t="s">
        <v>7</v>
      </c>
      <c r="AX19">
        <v>4.25532346335478E-3</v>
      </c>
      <c r="BD19" t="s">
        <v>298</v>
      </c>
      <c r="BE19">
        <v>1986</v>
      </c>
      <c r="BF19" t="s">
        <v>7</v>
      </c>
      <c r="BG19">
        <v>0.141383333333333</v>
      </c>
      <c r="BH19">
        <v>5.2113018207225999E-3</v>
      </c>
      <c r="BJ19" s="3">
        <v>1987</v>
      </c>
      <c r="BK19" s="20">
        <v>1.0260775598024543E-2</v>
      </c>
      <c r="BL19" s="20">
        <v>5.27195984488317E-3</v>
      </c>
    </row>
    <row r="20" spans="1:64">
      <c r="A20">
        <v>1983</v>
      </c>
      <c r="B20" t="s">
        <v>310</v>
      </c>
      <c r="C20" t="s">
        <v>31</v>
      </c>
      <c r="D20" s="2">
        <v>0.16800000000000001</v>
      </c>
      <c r="E20">
        <v>0.16800000000000001</v>
      </c>
      <c r="F20">
        <v>0.16800000000000001</v>
      </c>
      <c r="G20" s="2">
        <f t="shared" si="0"/>
        <v>0.504</v>
      </c>
      <c r="Q20" s="2"/>
      <c r="AK20" t="s">
        <v>350</v>
      </c>
      <c r="AL20">
        <v>1986</v>
      </c>
      <c r="AM20" t="s">
        <v>3</v>
      </c>
      <c r="AN20">
        <v>0.14463000000000001</v>
      </c>
      <c r="AU20" t="s">
        <v>298</v>
      </c>
      <c r="AV20">
        <v>1989</v>
      </c>
      <c r="AW20" t="s">
        <v>3</v>
      </c>
      <c r="AX20">
        <v>9.4499118161670368E-3</v>
      </c>
      <c r="BD20" t="s">
        <v>298</v>
      </c>
      <c r="BE20">
        <v>1987</v>
      </c>
      <c r="BF20" t="s">
        <v>3</v>
      </c>
      <c r="BG20">
        <v>0.149458333333333</v>
      </c>
      <c r="BH20">
        <v>5.27195984488317E-3</v>
      </c>
      <c r="BJ20" s="3">
        <v>1988</v>
      </c>
      <c r="BK20" s="20">
        <v>1.1354490056556678E-2</v>
      </c>
      <c r="BL20" s="20">
        <v>4.9909008113857428E-3</v>
      </c>
    </row>
    <row r="21" spans="1:64">
      <c r="A21">
        <v>1983</v>
      </c>
      <c r="B21" t="s">
        <v>310</v>
      </c>
      <c r="C21" t="s">
        <v>227</v>
      </c>
      <c r="D21" s="2">
        <v>0.1295</v>
      </c>
      <c r="E21">
        <v>0.1195</v>
      </c>
      <c r="F21">
        <v>0.1295</v>
      </c>
      <c r="G21" s="2">
        <f t="shared" si="0"/>
        <v>0.3785</v>
      </c>
      <c r="I21" s="1" t="s">
        <v>346</v>
      </c>
      <c r="AK21" t="s">
        <v>350</v>
      </c>
      <c r="AL21">
        <v>1986</v>
      </c>
      <c r="AM21" t="s">
        <v>5</v>
      </c>
      <c r="AN21">
        <v>0.13909230769230799</v>
      </c>
      <c r="AU21" t="s">
        <v>298</v>
      </c>
      <c r="AV21">
        <v>1989</v>
      </c>
      <c r="AW21" t="s">
        <v>5</v>
      </c>
      <c r="AX21">
        <v>8.2835022941030404E-3</v>
      </c>
      <c r="BD21" t="s">
        <v>298</v>
      </c>
      <c r="BE21">
        <v>1987</v>
      </c>
      <c r="BF21" t="s">
        <v>5</v>
      </c>
      <c r="BG21">
        <v>0.14242307692307701</v>
      </c>
      <c r="BH21">
        <v>7.0173776970881103E-3</v>
      </c>
      <c r="BJ21" s="3">
        <v>1989</v>
      </c>
      <c r="BK21" s="20">
        <v>7.5165800612993685E-3</v>
      </c>
      <c r="BL21" s="20">
        <v>9.4499118161670368E-3</v>
      </c>
    </row>
    <row r="22" spans="1:64">
      <c r="A22">
        <v>1983</v>
      </c>
      <c r="B22" t="s">
        <v>310</v>
      </c>
      <c r="C22" t="s">
        <v>31</v>
      </c>
      <c r="D22" s="2">
        <v>0.16800000000000001</v>
      </c>
      <c r="E22">
        <v>0.16800000000000001</v>
      </c>
      <c r="F22">
        <v>0.16800000000000001</v>
      </c>
      <c r="G22" s="2">
        <f t="shared" si="0"/>
        <v>0.504</v>
      </c>
      <c r="AE22" t="s">
        <v>354</v>
      </c>
      <c r="AK22" t="s">
        <v>350</v>
      </c>
      <c r="AL22">
        <v>1986</v>
      </c>
      <c r="AM22" t="s">
        <v>7</v>
      </c>
      <c r="AN22">
        <v>0.141383333333333</v>
      </c>
      <c r="AU22" t="s">
        <v>298</v>
      </c>
      <c r="AV22">
        <v>1989</v>
      </c>
      <c r="AW22" t="s">
        <v>7</v>
      </c>
      <c r="AX22">
        <v>9.3292252864021E-3</v>
      </c>
      <c r="BD22" t="s">
        <v>298</v>
      </c>
      <c r="BE22">
        <v>1987</v>
      </c>
      <c r="BF22" t="s">
        <v>7</v>
      </c>
      <c r="BG22">
        <v>0.14364285714285699</v>
      </c>
      <c r="BH22">
        <v>6.3292593413071504E-3</v>
      </c>
      <c r="BJ22" s="3">
        <v>1990</v>
      </c>
      <c r="BK22" s="20">
        <v>7.9465937949020956E-3</v>
      </c>
      <c r="BL22" s="20">
        <v>4.0729722027166553E-3</v>
      </c>
    </row>
    <row r="23" spans="1:64">
      <c r="A23">
        <v>1983</v>
      </c>
      <c r="B23" t="s">
        <v>310</v>
      </c>
      <c r="C23" t="s">
        <v>28</v>
      </c>
      <c r="D23" s="2">
        <v>0.1235</v>
      </c>
      <c r="E23">
        <v>0.111</v>
      </c>
      <c r="F23">
        <v>0.107</v>
      </c>
      <c r="G23" s="2">
        <f t="shared" si="0"/>
        <v>0.34150000000000003</v>
      </c>
      <c r="I23" s="1" t="s">
        <v>3</v>
      </c>
      <c r="AE23" s="1" t="s">
        <v>1</v>
      </c>
      <c r="AF23" t="s">
        <v>0</v>
      </c>
      <c r="AG23" t="s">
        <v>3</v>
      </c>
      <c r="AH23" t="s">
        <v>5</v>
      </c>
      <c r="AI23" t="s">
        <v>7</v>
      </c>
      <c r="AK23" t="s">
        <v>342</v>
      </c>
      <c r="AL23">
        <v>1986</v>
      </c>
      <c r="AM23" t="s">
        <v>3</v>
      </c>
      <c r="AN23">
        <v>0.12530303030303</v>
      </c>
      <c r="AU23" t="s">
        <v>298</v>
      </c>
      <c r="AV23">
        <v>1990</v>
      </c>
      <c r="AW23" t="s">
        <v>3</v>
      </c>
      <c r="AX23">
        <v>4.0729722027166553E-3</v>
      </c>
      <c r="BD23" t="s">
        <v>310</v>
      </c>
      <c r="BE23">
        <v>1985</v>
      </c>
      <c r="BF23" t="s">
        <v>3</v>
      </c>
      <c r="BG23">
        <v>0.12791538461538501</v>
      </c>
      <c r="BH23">
        <v>1.3218099479356015E-2</v>
      </c>
      <c r="BJ23" s="3">
        <v>1991</v>
      </c>
      <c r="BK23" s="20">
        <v>6.5201226982319919E-3</v>
      </c>
      <c r="BL23" s="20">
        <v>4.5816943456458365E-3</v>
      </c>
    </row>
    <row r="24" spans="1:64">
      <c r="A24">
        <v>1983</v>
      </c>
      <c r="B24" t="s">
        <v>310</v>
      </c>
      <c r="C24" t="s">
        <v>28</v>
      </c>
      <c r="D24" s="2">
        <v>0.1235</v>
      </c>
      <c r="E24">
        <v>0.1125</v>
      </c>
      <c r="F24">
        <v>0.1125</v>
      </c>
      <c r="G24" s="2">
        <f t="shared" si="0"/>
        <v>0.34849999999999998</v>
      </c>
      <c r="J24">
        <v>1983</v>
      </c>
      <c r="K24">
        <v>1984</v>
      </c>
      <c r="L24">
        <v>1985</v>
      </c>
      <c r="M24">
        <v>1986</v>
      </c>
      <c r="N24">
        <v>1987</v>
      </c>
      <c r="O24">
        <v>1988</v>
      </c>
      <c r="P24">
        <v>1989</v>
      </c>
      <c r="Q24">
        <v>1990</v>
      </c>
      <c r="R24">
        <v>1991</v>
      </c>
      <c r="AE24" t="s">
        <v>350</v>
      </c>
      <c r="AF24">
        <v>1983</v>
      </c>
      <c r="AG24" s="2">
        <f>J25</f>
        <v>0.118644444444444</v>
      </c>
      <c r="AH24" s="2">
        <f>J31</f>
        <v>0.11211818181818201</v>
      </c>
      <c r="AI24" s="2">
        <f>J37</f>
        <v>0.10598</v>
      </c>
      <c r="AK24" t="s">
        <v>342</v>
      </c>
      <c r="AL24">
        <v>1986</v>
      </c>
      <c r="AM24" t="s">
        <v>5</v>
      </c>
      <c r="AN24">
        <v>0.11782121212121199</v>
      </c>
      <c r="AU24" t="s">
        <v>298</v>
      </c>
      <c r="AV24">
        <v>1990</v>
      </c>
      <c r="AW24" t="s">
        <v>5</v>
      </c>
      <c r="AX24">
        <v>6.1523559322005702E-3</v>
      </c>
      <c r="BD24" t="s">
        <v>298</v>
      </c>
      <c r="BE24">
        <v>1988</v>
      </c>
      <c r="BF24" t="s">
        <v>3</v>
      </c>
      <c r="BG24">
        <v>0.15129999999999999</v>
      </c>
      <c r="BH24">
        <v>4.9909008113857428E-3</v>
      </c>
    </row>
    <row r="25" spans="1:64">
      <c r="A25">
        <v>1983</v>
      </c>
      <c r="B25" t="s">
        <v>310</v>
      </c>
      <c r="C25" t="s">
        <v>55</v>
      </c>
      <c r="D25" s="2" t="s">
        <v>345</v>
      </c>
      <c r="E25">
        <v>0.11</v>
      </c>
      <c r="F25" t="s">
        <v>16</v>
      </c>
      <c r="G25" s="2">
        <f t="shared" si="0"/>
        <v>0.11</v>
      </c>
      <c r="I25" t="s">
        <v>298</v>
      </c>
      <c r="J25" s="2" cm="1">
        <f t="array" ref="J25">AVERAGE(IF(($B$2:$B$393=$I$25)*($A$2:$A$393=J24),$D$2:$D$393," "))</f>
        <v>0.118644444444444</v>
      </c>
      <c r="K25" s="2" cm="1">
        <f t="array" ref="K25">AVERAGE(IF(($B$2:$B$393=$I$25)*($A$2:$A$393=K24),$D$2:$D$393," "))</f>
        <v>0.13885555555555601</v>
      </c>
      <c r="L25" s="2" cm="1">
        <f t="array" ref="L25">AVERAGE(IF(($B$2:$B$393=$I$25)*($A$2:$A$393=L24),$D$2:$D$393," "))</f>
        <v>0.14152000000000001</v>
      </c>
      <c r="M25" s="2" cm="1">
        <f t="array" ref="M25">AVERAGE(IF(($B$2:$B$393=$I$25)*($A$2:$A$393=M24),$D$2:$D$393," "))</f>
        <v>0.14463000000000001</v>
      </c>
      <c r="N25" s="2" cm="1">
        <f t="array" ref="N25">AVERAGE(IF(($B$2:$B$393=$I$25)*($A$2:$A$393=N24),$D$2:$D$393," "))</f>
        <v>0.149458333333333</v>
      </c>
      <c r="O25" s="2" cm="1">
        <f t="array" ref="O25">AVERAGE(IF(($B$2:$B$393=$I$25)*($A$2:$A$393=O24),$D$2:$D$393," "))</f>
        <v>0.15129999999999999</v>
      </c>
      <c r="P25" s="2" cm="1">
        <f t="array" ref="P25">AVERAGE(IF(($B$2:$B$393=$I$25)*($A$2:$A$393=P24),$D$2:$D$393," "))</f>
        <v>0.13139166666666699</v>
      </c>
      <c r="Q25" s="2" cm="1">
        <f t="array" ref="Q25">AVERAGE(IF(($B$2:$B$393=$I$25)*($A$2:$A$393=Q24),$D$2:$D$393," "))</f>
        <v>0.16200769230769199</v>
      </c>
      <c r="R25" s="2" cm="1">
        <f t="array" ref="R25">AVERAGE(IF(($B$2:$B$393=$I$25)*($A$2:$A$393=R24),$D$2:$D$393," "))</f>
        <v>0.14117692307692301</v>
      </c>
      <c r="AE25" t="s">
        <v>342</v>
      </c>
      <c r="AF25">
        <v>1983</v>
      </c>
      <c r="AG25" s="2">
        <f>J26</f>
        <v>0.13171739130434801</v>
      </c>
      <c r="AH25" s="2">
        <f>J32</f>
        <v>0.124468</v>
      </c>
      <c r="AI25" s="2">
        <f>J38</f>
        <v>0.12661600000000001</v>
      </c>
      <c r="AJ25" s="2"/>
      <c r="AK25" t="s">
        <v>342</v>
      </c>
      <c r="AL25">
        <v>1986</v>
      </c>
      <c r="AM25" t="s">
        <v>7</v>
      </c>
      <c r="AN25">
        <v>0.116891176470588</v>
      </c>
      <c r="AU25" t="s">
        <v>298</v>
      </c>
      <c r="AV25">
        <v>1990</v>
      </c>
      <c r="AW25" t="s">
        <v>7</v>
      </c>
      <c r="AX25">
        <v>4.8055838733328101E-3</v>
      </c>
      <c r="BD25" t="s">
        <v>310</v>
      </c>
      <c r="BE25">
        <v>1985</v>
      </c>
      <c r="BF25" t="s">
        <v>5</v>
      </c>
      <c r="BG25">
        <v>0.119989655172414</v>
      </c>
      <c r="BH25">
        <v>1.4522454161636901E-2</v>
      </c>
    </row>
    <row r="26" spans="1:64">
      <c r="A26">
        <v>1983</v>
      </c>
      <c r="B26" t="s">
        <v>310</v>
      </c>
      <c r="C26" t="s">
        <v>230</v>
      </c>
      <c r="D26" s="2">
        <v>0.14000000000000001</v>
      </c>
      <c r="E26">
        <v>0.1105</v>
      </c>
      <c r="F26">
        <v>0.123</v>
      </c>
      <c r="G26" s="2">
        <f t="shared" si="0"/>
        <v>0.3735</v>
      </c>
      <c r="I26" t="s">
        <v>310</v>
      </c>
      <c r="J26" s="2" cm="1">
        <f t="array" ref="J26">AVERAGE(IF(($B$2:$B$393=$I$26)*($A$2:$A$393=J24),$D$2:$D$393," "))</f>
        <v>0.13171739130434801</v>
      </c>
      <c r="K26" s="2" cm="1">
        <f t="array" ref="K26">AVERAGE(IF(($B$2:$B$393=$I$26)*($A$2:$A$393=K24),$D$2:$D$393," "))</f>
        <v>0.13089545454545501</v>
      </c>
      <c r="L26" s="2" cm="1">
        <f t="array" ref="L26">AVERAGE(IF(($B$2:$B$393=$I$26)*($A$2:$A$393=L24),$D$2:$D$393," "))</f>
        <v>0.12791538461538501</v>
      </c>
      <c r="M26" s="2" cm="1">
        <f t="array" ref="M26">AVERAGE(IF(($B$2:$B$393=$I$26)*($A$2:$A$393=M24),$D$2:$D$393," "))</f>
        <v>0.12530303030303</v>
      </c>
      <c r="N26" s="2" cm="1">
        <f t="array" ref="N26">AVERAGE(IF(($B$2:$B$393=$I$26)*($A$2:$A$393=N24),$D$2:$D$393," "))</f>
        <v>0.126386111111111</v>
      </c>
      <c r="O26" s="2" cm="1">
        <f t="array" ref="O26">AVERAGE(IF(($B$2:$B$393=$I$26)*($A$2:$A$393=O24),$D$2:$D$393," "))</f>
        <v>0.12768888888888899</v>
      </c>
      <c r="P26" s="2" cm="1">
        <f t="array" ref="P26">AVERAGE(IF(($B$2:$B$393=$I$26)*($A$2:$A$393=P24),$D$2:$D$393," "))</f>
        <v>0.129731578947368</v>
      </c>
      <c r="Q26" s="2" cm="1">
        <f t="array" ref="Q26">AVERAGE(IF(($B$2:$B$393=$I$26)*($A$2:$A$393=Q24),$D$2:$D$393," "))</f>
        <v>0.16094</v>
      </c>
      <c r="R26" s="2" cm="1">
        <f t="array" ref="R26">AVERAGE(IF(($B$2:$B$393=$I$26)*($A$2:$A$393=R24),$D$2:$D$393," "))</f>
        <v>0.14518</v>
      </c>
      <c r="AE26" t="s">
        <v>350</v>
      </c>
      <c r="AF26">
        <v>1984</v>
      </c>
      <c r="AG26" s="2">
        <f>K25</f>
        <v>0.13885555555555601</v>
      </c>
      <c r="AH26" s="2">
        <f>K31</f>
        <v>0.133841666666667</v>
      </c>
      <c r="AI26" s="2">
        <f>K37</f>
        <v>0.13468333333333299</v>
      </c>
      <c r="AJ26" s="2"/>
      <c r="AK26" t="s">
        <v>350</v>
      </c>
      <c r="AL26">
        <v>1987</v>
      </c>
      <c r="AM26" t="s">
        <v>3</v>
      </c>
      <c r="AN26">
        <v>0.149458333333333</v>
      </c>
      <c r="AU26" t="s">
        <v>298</v>
      </c>
      <c r="AV26">
        <v>1991</v>
      </c>
      <c r="AW26" t="s">
        <v>3</v>
      </c>
      <c r="AX26">
        <v>4.5816943456458365E-3</v>
      </c>
      <c r="BD26" t="s">
        <v>298</v>
      </c>
      <c r="BE26">
        <v>1988</v>
      </c>
      <c r="BF26" t="s">
        <v>5</v>
      </c>
      <c r="BG26">
        <v>0.14481538461538501</v>
      </c>
      <c r="BH26">
        <v>6.1801896079120098E-3</v>
      </c>
      <c r="BJ26" t="s">
        <v>340</v>
      </c>
      <c r="BK26" s="21">
        <f>AVERAGE(BK15:BK23)</f>
        <v>1.0645158246698374E-2</v>
      </c>
      <c r="BL26" s="21">
        <f>AVERAGE(BL15:BL23)</f>
        <v>6.3483523448976814E-3</v>
      </c>
    </row>
    <row r="27" spans="1:64">
      <c r="A27">
        <v>1983</v>
      </c>
      <c r="B27" t="s">
        <v>310</v>
      </c>
      <c r="C27" t="s">
        <v>31</v>
      </c>
      <c r="D27" s="2">
        <v>0.1295</v>
      </c>
      <c r="E27">
        <v>0.1295</v>
      </c>
      <c r="F27">
        <v>0.1245</v>
      </c>
      <c r="G27" s="2">
        <f t="shared" si="0"/>
        <v>0.38350000000000001</v>
      </c>
      <c r="AE27" t="s">
        <v>342</v>
      </c>
      <c r="AF27">
        <v>1984</v>
      </c>
      <c r="AG27" s="2">
        <f>K26</f>
        <v>0.13089545454545501</v>
      </c>
      <c r="AH27" s="2">
        <f>K32</f>
        <v>0.123569230769231</v>
      </c>
      <c r="AI27" s="2">
        <f>K38</f>
        <v>0.125112</v>
      </c>
      <c r="AK27" t="s">
        <v>350</v>
      </c>
      <c r="AL27">
        <v>1987</v>
      </c>
      <c r="AM27" t="s">
        <v>5</v>
      </c>
      <c r="AN27">
        <v>0.14242307692307701</v>
      </c>
      <c r="AU27" t="s">
        <v>298</v>
      </c>
      <c r="AV27">
        <v>1991</v>
      </c>
      <c r="AW27" t="s">
        <v>5</v>
      </c>
      <c r="AX27">
        <v>5.8576807904173302E-3</v>
      </c>
      <c r="BD27" t="s">
        <v>310</v>
      </c>
      <c r="BE27">
        <v>1985</v>
      </c>
      <c r="BF27" t="s">
        <v>7</v>
      </c>
      <c r="BG27">
        <v>0.12063214285714299</v>
      </c>
      <c r="BH27">
        <v>1.5755870242228801E-2</v>
      </c>
    </row>
    <row r="28" spans="1:64">
      <c r="A28">
        <v>1983</v>
      </c>
      <c r="B28" t="s">
        <v>310</v>
      </c>
      <c r="C28" t="s">
        <v>31</v>
      </c>
      <c r="D28" s="2" t="s">
        <v>345</v>
      </c>
      <c r="E28">
        <v>0.1138</v>
      </c>
      <c r="F28">
        <v>0.1138</v>
      </c>
      <c r="G28" s="2">
        <f t="shared" si="0"/>
        <v>0.2276</v>
      </c>
      <c r="AE28" t="s">
        <v>350</v>
      </c>
      <c r="AF28">
        <v>1985</v>
      </c>
      <c r="AG28" s="2">
        <f>L25</f>
        <v>0.14152000000000001</v>
      </c>
      <c r="AH28" s="2">
        <f>L31</f>
        <v>0.136584615384615</v>
      </c>
      <c r="AI28" s="2">
        <f>L37</f>
        <v>0.13871666666666699</v>
      </c>
      <c r="AK28" t="s">
        <v>350</v>
      </c>
      <c r="AL28">
        <v>1987</v>
      </c>
      <c r="AM28" t="s">
        <v>7</v>
      </c>
      <c r="AN28">
        <v>0.14364285714285699</v>
      </c>
      <c r="AU28" t="s">
        <v>298</v>
      </c>
      <c r="AV28">
        <v>1991</v>
      </c>
      <c r="AW28" t="s">
        <v>7</v>
      </c>
      <c r="AX28">
        <v>6.5029363996722102E-3</v>
      </c>
      <c r="BD28" t="s">
        <v>298</v>
      </c>
      <c r="BE28">
        <v>1988</v>
      </c>
      <c r="BF28" t="s">
        <v>7</v>
      </c>
      <c r="BG28">
        <v>0.14695555555555601</v>
      </c>
      <c r="BH28">
        <v>4.25532346335478E-3</v>
      </c>
    </row>
    <row r="29" spans="1:64">
      <c r="A29">
        <v>1983</v>
      </c>
      <c r="B29" t="s">
        <v>310</v>
      </c>
      <c r="C29" t="s">
        <v>31</v>
      </c>
      <c r="D29" s="2">
        <v>0.1295</v>
      </c>
      <c r="E29">
        <v>0.1295</v>
      </c>
      <c r="F29">
        <v>0.1245</v>
      </c>
      <c r="G29" s="2">
        <f t="shared" si="0"/>
        <v>0.38350000000000001</v>
      </c>
      <c r="I29" s="1" t="s">
        <v>5</v>
      </c>
      <c r="AE29" t="s">
        <v>342</v>
      </c>
      <c r="AF29">
        <v>1985</v>
      </c>
      <c r="AG29" s="2">
        <f>L26</f>
        <v>0.12791538461538501</v>
      </c>
      <c r="AH29" s="2">
        <f>L32</f>
        <v>0.119989655172414</v>
      </c>
      <c r="AI29" s="2">
        <f>L38</f>
        <v>0.12063214285714299</v>
      </c>
      <c r="AK29" t="s">
        <v>342</v>
      </c>
      <c r="AL29">
        <v>1987</v>
      </c>
      <c r="AM29" t="s">
        <v>3</v>
      </c>
      <c r="AN29">
        <v>0.126386111111111</v>
      </c>
      <c r="AU29" t="s">
        <v>310</v>
      </c>
      <c r="AV29">
        <v>1983</v>
      </c>
      <c r="AW29" t="s">
        <v>3</v>
      </c>
      <c r="AX29">
        <v>1.4261220532170093E-2</v>
      </c>
      <c r="BD29" t="s">
        <v>298</v>
      </c>
      <c r="BE29">
        <v>1989</v>
      </c>
      <c r="BF29" t="s">
        <v>3</v>
      </c>
      <c r="BG29">
        <v>0.13139166666666699</v>
      </c>
      <c r="BH29">
        <v>9.4499118161670368E-3</v>
      </c>
    </row>
    <row r="30" spans="1:64">
      <c r="A30">
        <v>1983</v>
      </c>
      <c r="B30" t="s">
        <v>298</v>
      </c>
      <c r="C30" t="s">
        <v>15</v>
      </c>
      <c r="D30" s="2">
        <v>0.126</v>
      </c>
      <c r="E30">
        <v>0.126</v>
      </c>
      <c r="F30" t="s">
        <v>16</v>
      </c>
      <c r="G30" s="2">
        <f t="shared" si="0"/>
        <v>0.252</v>
      </c>
      <c r="J30">
        <v>1983</v>
      </c>
      <c r="K30">
        <v>1984</v>
      </c>
      <c r="L30">
        <v>1985</v>
      </c>
      <c r="M30">
        <v>1986</v>
      </c>
      <c r="N30">
        <v>1987</v>
      </c>
      <c r="O30">
        <v>1988</v>
      </c>
      <c r="P30">
        <v>1989</v>
      </c>
      <c r="Q30">
        <v>1990</v>
      </c>
      <c r="R30">
        <v>1991</v>
      </c>
      <c r="AE30" t="s">
        <v>350</v>
      </c>
      <c r="AF30">
        <v>1986</v>
      </c>
      <c r="AG30" s="2">
        <f>M25</f>
        <v>0.14463000000000001</v>
      </c>
      <c r="AH30" s="2">
        <f>M31</f>
        <v>0.13909230769230799</v>
      </c>
      <c r="AI30" s="2">
        <f>M37</f>
        <v>0.141383333333333</v>
      </c>
      <c r="AK30" t="s">
        <v>342</v>
      </c>
      <c r="AL30">
        <v>1987</v>
      </c>
      <c r="AM30" t="s">
        <v>5</v>
      </c>
      <c r="AN30">
        <v>0.117308571428571</v>
      </c>
      <c r="AU30" t="s">
        <v>310</v>
      </c>
      <c r="AV30">
        <v>1983</v>
      </c>
      <c r="AW30" t="s">
        <v>5</v>
      </c>
      <c r="AX30">
        <v>1.6403651016364099E-2</v>
      </c>
      <c r="BD30" t="s">
        <v>298</v>
      </c>
      <c r="BE30">
        <v>1989</v>
      </c>
      <c r="BF30" t="s">
        <v>5</v>
      </c>
      <c r="BG30">
        <v>0.124015384615385</v>
      </c>
      <c r="BH30">
        <v>8.2835022941030404E-3</v>
      </c>
    </row>
    <row r="31" spans="1:64">
      <c r="A31">
        <v>1983</v>
      </c>
      <c r="B31" t="s">
        <v>298</v>
      </c>
      <c r="C31" t="s">
        <v>18</v>
      </c>
      <c r="D31" s="2">
        <v>0.14949999999999999</v>
      </c>
      <c r="E31">
        <v>0.13950000000000001</v>
      </c>
      <c r="F31" t="s">
        <v>16</v>
      </c>
      <c r="G31" s="2">
        <f t="shared" si="0"/>
        <v>0.28899999999999998</v>
      </c>
      <c r="I31" t="s">
        <v>298</v>
      </c>
      <c r="J31" s="2" cm="1">
        <f t="array" ref="J31">AVERAGE(IF(($B$2:$B$393="TRI-COUNTY")*($A$2:$A$393=J30),$E$2:$E$393,""))</f>
        <v>0.11211818181818201</v>
      </c>
      <c r="K31" s="2" cm="1">
        <f t="array" ref="K31">AVERAGE(IF(($B$2:$B$393="TRI-COUNTY")*($A$2:$A$393=K30),$E$2:$E$393,""))</f>
        <v>0.133841666666667</v>
      </c>
      <c r="L31" s="2" cm="1">
        <f t="array" ref="L31">AVERAGE(IF(($B$2:$B$393="TRI-COUNTY")*($A$2:$A$393=L30),$E$2:$E$393,""))</f>
        <v>0.136584615384615</v>
      </c>
      <c r="M31" s="2" cm="1">
        <f t="array" ref="M31">AVERAGE(IF(($B$2:$B$393="TRI-COUNTY")*($A$2:$A$393=M30),$E$2:$E$393,""))</f>
        <v>0.13909230769230799</v>
      </c>
      <c r="N31" s="2" cm="1">
        <f t="array" ref="N31">AVERAGE(IF(($B$2:$B$393="TRI-COUNTY")*($A$2:$A$393=N30),$E$2:$E$393,""))</f>
        <v>0.14242307692307701</v>
      </c>
      <c r="O31" s="2" cm="1">
        <f t="array" ref="O31">AVERAGE(IF(($B$2:$B$393="TRI-COUNTY")*($A$2:$A$393=O30),$E$2:$E$393,""))</f>
        <v>0.14481538461538501</v>
      </c>
      <c r="P31" s="2" cm="1">
        <f t="array" ref="P31">AVERAGE(IF(($B$2:$B$393="TRI-COUNTY")*($A$2:$A$393=P30),$E$2:$E$393,""))</f>
        <v>0.124015384615385</v>
      </c>
      <c r="Q31" s="2" cm="1">
        <f t="array" ref="Q31">AVERAGE(IF(($B$2:$B$393="TRI-COUNTY")*($A$2:$A$393=Q30),$E$2:$E$393,""))</f>
        <v>0.15599285714285699</v>
      </c>
      <c r="R31" s="2" cm="1">
        <f t="array" ref="R31">AVERAGE(IF(($B$2:$B$393="TRI-COUNTY")*($A$2:$A$393=R30),$E$2:$E$393,""))</f>
        <v>0.13538333333333299</v>
      </c>
      <c r="AE31" t="s">
        <v>342</v>
      </c>
      <c r="AF31">
        <v>1986</v>
      </c>
      <c r="AG31" s="2">
        <f>M26</f>
        <v>0.12530303030303</v>
      </c>
      <c r="AH31" s="2">
        <f>M32</f>
        <v>0.11782121212121199</v>
      </c>
      <c r="AI31" s="2">
        <f>M38</f>
        <v>0.116891176470588</v>
      </c>
      <c r="AK31" t="s">
        <v>342</v>
      </c>
      <c r="AL31">
        <v>1987</v>
      </c>
      <c r="AM31" t="s">
        <v>7</v>
      </c>
      <c r="AN31">
        <v>0.118363888888889</v>
      </c>
      <c r="AU31" t="s">
        <v>310</v>
      </c>
      <c r="AV31">
        <v>1983</v>
      </c>
      <c r="AW31" t="s">
        <v>7</v>
      </c>
      <c r="AX31">
        <v>1.6615045390649001E-2</v>
      </c>
      <c r="BD31" t="s">
        <v>298</v>
      </c>
      <c r="BE31">
        <v>1989</v>
      </c>
      <c r="BF31" t="s">
        <v>7</v>
      </c>
      <c r="BG31">
        <v>0.125822222222222</v>
      </c>
      <c r="BH31">
        <v>9.3292252864021E-3</v>
      </c>
    </row>
    <row r="32" spans="1:64">
      <c r="A32">
        <v>1983</v>
      </c>
      <c r="B32" t="s">
        <v>298</v>
      </c>
      <c r="C32" t="s">
        <v>18</v>
      </c>
      <c r="D32" s="2">
        <v>0.1193</v>
      </c>
      <c r="E32">
        <v>0.1113</v>
      </c>
      <c r="F32" t="s">
        <v>16</v>
      </c>
      <c r="G32" s="2">
        <f t="shared" si="0"/>
        <v>0.2306</v>
      </c>
      <c r="I32" t="s">
        <v>310</v>
      </c>
      <c r="J32" s="2" cm="1">
        <f t="array" ref="J32">AVERAGE(IF(($B$2:$B$393="SURROUND")*($A$2:$A$393=J30),$E$2:$E$393,""))</f>
        <v>0.124468</v>
      </c>
      <c r="K32" s="2" cm="1">
        <f t="array" ref="K32">AVERAGE(IF(($B$2:$B$393="SURROUND")*($A$2:$A$393=K30),$E$2:$E$393,""))</f>
        <v>0.123569230769231</v>
      </c>
      <c r="L32" s="2" cm="1">
        <f t="array" ref="L32">AVERAGE(IF(($B$2:$B$393="SURROUND")*($A$2:$A$393=L30),$E$2:$E$393,""))</f>
        <v>0.119989655172414</v>
      </c>
      <c r="M32" s="2" cm="1">
        <f t="array" ref="M32">AVERAGE(IF(($B$2:$B$393="SURROUND")*($A$2:$A$393=M30),$E$2:$E$393,""))</f>
        <v>0.11782121212121199</v>
      </c>
      <c r="N32" s="2" cm="1">
        <f t="array" ref="N32">AVERAGE(IF(($B$2:$B$393="SURROUND")*($A$2:$A$393=N30),$E$2:$E$393,""))</f>
        <v>0.117308571428571</v>
      </c>
      <c r="O32" s="2" cm="1">
        <f t="array" ref="O32">AVERAGE(IF(($B$2:$B$393="SURROUND")*($A$2:$A$393=O30),$E$2:$E$393,""))</f>
        <v>0.11818571428571401</v>
      </c>
      <c r="P32" s="2" cm="1">
        <f t="array" ref="P32">AVERAGE(IF(($B$2:$B$393="SURROUND")*($A$2:$A$393=P30),$E$2:$E$393,""))</f>
        <v>0.11847222222222201</v>
      </c>
      <c r="Q32" s="2" cm="1">
        <f t="array" ref="Q32">AVERAGE(IF(($B$2:$B$393="SURROUND")*($A$2:$A$393=Q30),$E$2:$E$393,""))</f>
        <v>0.15185588235294101</v>
      </c>
      <c r="R32" s="2" cm="1">
        <f t="array" ref="R32">AVERAGE(IF(($B$2:$B$393="SURROUND")*($A$2:$A$393=R30),$E$2:$E$393,""))</f>
        <v>0.13638</v>
      </c>
      <c r="AE32" t="s">
        <v>350</v>
      </c>
      <c r="AF32">
        <v>1987</v>
      </c>
      <c r="AG32" s="2">
        <f>N25</f>
        <v>0.149458333333333</v>
      </c>
      <c r="AH32" s="2">
        <f>N31</f>
        <v>0.14242307692307701</v>
      </c>
      <c r="AI32" s="2">
        <f>N37</f>
        <v>0.14364285714285699</v>
      </c>
      <c r="AK32" t="s">
        <v>350</v>
      </c>
      <c r="AL32">
        <v>1988</v>
      </c>
      <c r="AM32" t="s">
        <v>3</v>
      </c>
      <c r="AN32">
        <v>0.15129999999999999</v>
      </c>
      <c r="AU32" t="s">
        <v>310</v>
      </c>
      <c r="AV32">
        <v>1984</v>
      </c>
      <c r="AW32" t="s">
        <v>3</v>
      </c>
      <c r="AX32">
        <v>1.3741888595258633E-2</v>
      </c>
      <c r="BD32" t="s">
        <v>310</v>
      </c>
      <c r="BE32">
        <v>1986</v>
      </c>
      <c r="BF32" t="s">
        <v>3</v>
      </c>
      <c r="BG32">
        <v>0.12530303030303</v>
      </c>
      <c r="BH32">
        <v>1.0986653404485965E-2</v>
      </c>
    </row>
    <row r="33" spans="1:64">
      <c r="A33">
        <v>1983</v>
      </c>
      <c r="B33" t="s">
        <v>298</v>
      </c>
      <c r="C33" t="s">
        <v>15</v>
      </c>
      <c r="D33" s="2">
        <v>0.1094</v>
      </c>
      <c r="E33">
        <v>0.1094</v>
      </c>
      <c r="F33">
        <v>0.1094</v>
      </c>
      <c r="G33" s="2">
        <f t="shared" si="0"/>
        <v>0.32819999999999999</v>
      </c>
      <c r="J33" s="2"/>
      <c r="AE33" t="s">
        <v>342</v>
      </c>
      <c r="AF33">
        <v>1987</v>
      </c>
      <c r="AG33" s="2">
        <f>N26</f>
        <v>0.126386111111111</v>
      </c>
      <c r="AH33" s="2">
        <f>N32</f>
        <v>0.117308571428571</v>
      </c>
      <c r="AI33" s="2">
        <f>N38</f>
        <v>0.118363888888889</v>
      </c>
      <c r="AK33" t="s">
        <v>350</v>
      </c>
      <c r="AL33">
        <v>1988</v>
      </c>
      <c r="AM33" t="s">
        <v>5</v>
      </c>
      <c r="AN33">
        <v>0.14481538461538501</v>
      </c>
      <c r="AU33" t="s">
        <v>310</v>
      </c>
      <c r="AV33">
        <v>1984</v>
      </c>
      <c r="AW33" t="s">
        <v>5</v>
      </c>
      <c r="AX33">
        <v>1.46985922926182E-2</v>
      </c>
      <c r="BD33" t="s">
        <v>298</v>
      </c>
      <c r="BE33">
        <v>1990</v>
      </c>
      <c r="BF33" t="s">
        <v>3</v>
      </c>
      <c r="BG33">
        <v>0.16200769230769199</v>
      </c>
      <c r="BH33">
        <v>4.0729722027166553E-3</v>
      </c>
    </row>
    <row r="34" spans="1:64">
      <c r="A34">
        <v>1983</v>
      </c>
      <c r="B34" t="s">
        <v>298</v>
      </c>
      <c r="C34" t="s">
        <v>18</v>
      </c>
      <c r="D34" s="2">
        <v>0.10639999999999999</v>
      </c>
      <c r="E34">
        <v>0.10639999999999999</v>
      </c>
      <c r="F34" t="s">
        <v>16</v>
      </c>
      <c r="G34" s="2">
        <f t="shared" si="0"/>
        <v>0.21279999999999999</v>
      </c>
      <c r="J34" s="2"/>
      <c r="AE34" t="s">
        <v>350</v>
      </c>
      <c r="AF34">
        <v>1988</v>
      </c>
      <c r="AG34" s="2">
        <f>O25</f>
        <v>0.15129999999999999</v>
      </c>
      <c r="AH34" s="2">
        <f>O31</f>
        <v>0.14481538461538501</v>
      </c>
      <c r="AI34" s="2">
        <f>O37</f>
        <v>0.14695555555555601</v>
      </c>
      <c r="AK34" t="s">
        <v>350</v>
      </c>
      <c r="AL34">
        <v>1988</v>
      </c>
      <c r="AM34" t="s">
        <v>7</v>
      </c>
      <c r="AN34">
        <v>0.14695555555555601</v>
      </c>
      <c r="AU34" t="s">
        <v>310</v>
      </c>
      <c r="AV34">
        <v>1984</v>
      </c>
      <c r="AW34" t="s">
        <v>7</v>
      </c>
      <c r="AX34">
        <v>1.5301560922555101E-2</v>
      </c>
      <c r="BD34" t="s">
        <v>310</v>
      </c>
      <c r="BE34">
        <v>1986</v>
      </c>
      <c r="BF34" t="s">
        <v>5</v>
      </c>
      <c r="BG34">
        <v>0.11782121212121199</v>
      </c>
      <c r="BH34">
        <v>1.18064007421758E-2</v>
      </c>
    </row>
    <row r="35" spans="1:64">
      <c r="A35">
        <v>1983</v>
      </c>
      <c r="B35" t="s">
        <v>298</v>
      </c>
      <c r="C35" t="s">
        <v>15</v>
      </c>
      <c r="D35" s="2">
        <v>0.1074</v>
      </c>
      <c r="E35">
        <v>0.1074</v>
      </c>
      <c r="F35">
        <v>0.1074</v>
      </c>
      <c r="G35" s="2">
        <f t="shared" si="0"/>
        <v>0.32219999999999999</v>
      </c>
      <c r="I35" s="1" t="s">
        <v>7</v>
      </c>
      <c r="J35" s="2"/>
      <c r="AE35" t="s">
        <v>342</v>
      </c>
      <c r="AF35">
        <v>1988</v>
      </c>
      <c r="AG35" s="2">
        <f>O26</f>
        <v>0.12768888888888899</v>
      </c>
      <c r="AH35" s="2">
        <f>O32</f>
        <v>0.11818571428571401</v>
      </c>
      <c r="AI35" s="2">
        <f>O38</f>
        <v>0.119244444444444</v>
      </c>
      <c r="AK35" t="s">
        <v>342</v>
      </c>
      <c r="AL35">
        <v>1988</v>
      </c>
      <c r="AM35" t="s">
        <v>3</v>
      </c>
      <c r="AN35">
        <v>0.12768888888888899</v>
      </c>
      <c r="AU35" t="s">
        <v>310</v>
      </c>
      <c r="AV35">
        <v>1985</v>
      </c>
      <c r="AW35" t="s">
        <v>3</v>
      </c>
      <c r="AX35">
        <v>1.3218099479356015E-2</v>
      </c>
      <c r="BD35" t="s">
        <v>298</v>
      </c>
      <c r="BE35">
        <v>1990</v>
      </c>
      <c r="BF35" t="s">
        <v>5</v>
      </c>
      <c r="BG35">
        <v>0.15599285714285699</v>
      </c>
      <c r="BH35">
        <v>6.1523559322005702E-3</v>
      </c>
    </row>
    <row r="36" spans="1:64">
      <c r="A36">
        <v>1983</v>
      </c>
      <c r="B36" t="s">
        <v>298</v>
      </c>
      <c r="C36" t="s">
        <v>15</v>
      </c>
      <c r="D36" s="2" t="s">
        <v>345</v>
      </c>
      <c r="E36">
        <v>9.8699999999999996E-2</v>
      </c>
      <c r="F36" t="s">
        <v>16</v>
      </c>
      <c r="G36" s="2">
        <f t="shared" si="0"/>
        <v>9.8699999999999996E-2</v>
      </c>
      <c r="H36" s="2"/>
      <c r="J36">
        <v>1983</v>
      </c>
      <c r="K36">
        <v>1984</v>
      </c>
      <c r="L36">
        <v>1985</v>
      </c>
      <c r="M36">
        <v>1986</v>
      </c>
      <c r="N36">
        <v>1987</v>
      </c>
      <c r="O36">
        <v>1988</v>
      </c>
      <c r="P36">
        <v>1989</v>
      </c>
      <c r="Q36">
        <v>1990</v>
      </c>
      <c r="R36">
        <v>1991</v>
      </c>
      <c r="AE36" t="s">
        <v>350</v>
      </c>
      <c r="AF36">
        <v>1989</v>
      </c>
      <c r="AG36" s="2">
        <f>P25</f>
        <v>0.13139166666666699</v>
      </c>
      <c r="AH36" s="2">
        <f>P31</f>
        <v>0.124015384615385</v>
      </c>
      <c r="AI36" s="2">
        <f>P37</f>
        <v>0.125822222222222</v>
      </c>
      <c r="AK36" t="s">
        <v>342</v>
      </c>
      <c r="AL36">
        <v>1988</v>
      </c>
      <c r="AM36" t="s">
        <v>5</v>
      </c>
      <c r="AN36">
        <v>0.11818571428571401</v>
      </c>
      <c r="AU36" t="s">
        <v>310</v>
      </c>
      <c r="AV36">
        <v>1985</v>
      </c>
      <c r="AW36" t="s">
        <v>5</v>
      </c>
      <c r="AX36">
        <v>1.4522454161636901E-2</v>
      </c>
      <c r="BD36" t="s">
        <v>310</v>
      </c>
      <c r="BE36">
        <v>1986</v>
      </c>
      <c r="BF36" t="s">
        <v>7</v>
      </c>
      <c r="BG36">
        <v>0.116891176470588</v>
      </c>
      <c r="BH36">
        <v>1.27935676936324E-2</v>
      </c>
    </row>
    <row r="37" spans="1:64">
      <c r="A37">
        <v>1983</v>
      </c>
      <c r="B37" t="s">
        <v>298</v>
      </c>
      <c r="C37" t="s">
        <v>18</v>
      </c>
      <c r="D37" s="2">
        <v>0.111</v>
      </c>
      <c r="E37">
        <v>0.10100000000000001</v>
      </c>
      <c r="F37">
        <v>0.10100000000000001</v>
      </c>
      <c r="G37" s="2">
        <f t="shared" si="0"/>
        <v>0.313</v>
      </c>
      <c r="I37" t="s">
        <v>298</v>
      </c>
      <c r="J37" s="2" cm="1">
        <f t="array" ref="J37">AVERAGE(IF(($B$2:$B$393="TRI-COUNTY")*($A$2:$A$393=J36),$F$2:$F$393,""))</f>
        <v>0.10598</v>
      </c>
      <c r="K37" s="2" cm="1">
        <f t="array" ref="K37">AVERAGE(IF(($B$2:$B$393="TRI-COUNTY")*($A$2:$A$393=K36),$F$2:$F$393,""))</f>
        <v>0.13468333333333299</v>
      </c>
      <c r="L37" s="2" cm="1">
        <f t="array" ref="L37">AVERAGE(IF(($B$2:$B$393="TRI-COUNTY")*($A$2:$A$393=L36),$F$2:$F$393,""))</f>
        <v>0.13871666666666699</v>
      </c>
      <c r="M37" s="2" cm="1">
        <f t="array" ref="M37">AVERAGE(IF(($B$2:$B$393="TRI-COUNTY")*($A$2:$A$393=M36),$F$2:$F$393,""))</f>
        <v>0.141383333333333</v>
      </c>
      <c r="N37" s="2" cm="1">
        <f t="array" ref="N37">AVERAGE(IF(($B$2:$B$393="TRI-COUNTY")*($A$2:$A$393=N36),$F$2:$F$393,""))</f>
        <v>0.14364285714285699</v>
      </c>
      <c r="O37" s="2" cm="1">
        <f t="array" ref="O37">AVERAGE(IF(($B$2:$B$393="TRI-COUNTY")*($A$2:$A$393=O36),$F$2:$F$393,""))</f>
        <v>0.14695555555555601</v>
      </c>
      <c r="P37" s="2" cm="1">
        <f t="array" ref="P37">AVERAGE(IF(($B$2:$B$393="TRI-COUNTY")*($A$2:$A$393=P36),$F$2:$F$393,""))</f>
        <v>0.125822222222222</v>
      </c>
      <c r="Q37" s="2" cm="1">
        <f t="array" ref="Q37">AVERAGE(IF(($B$2:$B$393="TRI-COUNTY")*($A$2:$A$393=Q36),$F$2:$F$393,""))</f>
        <v>0.160481818181818</v>
      </c>
      <c r="R37" s="2" cm="1">
        <f t="array" ref="R37">AVERAGE(IF(($B$2:$B$393="TRI-COUNTY")*($A$2:$A$393=R36),$F$2:$F$393,""))</f>
        <v>0.142327272727273</v>
      </c>
      <c r="AE37" t="s">
        <v>342</v>
      </c>
      <c r="AF37">
        <v>1989</v>
      </c>
      <c r="AG37" s="2">
        <f>P26</f>
        <v>0.129731578947368</v>
      </c>
      <c r="AH37" s="2">
        <f>P32</f>
        <v>0.11847222222222201</v>
      </c>
      <c r="AI37" s="2">
        <f>P38</f>
        <v>0.11990000000000001</v>
      </c>
      <c r="AK37" t="s">
        <v>342</v>
      </c>
      <c r="AL37">
        <v>1988</v>
      </c>
      <c r="AM37" t="s">
        <v>7</v>
      </c>
      <c r="AN37">
        <v>0.119244444444444</v>
      </c>
      <c r="AU37" t="s">
        <v>310</v>
      </c>
      <c r="AV37">
        <v>1985</v>
      </c>
      <c r="AW37" t="s">
        <v>7</v>
      </c>
      <c r="AX37">
        <v>1.5755870242228801E-2</v>
      </c>
      <c r="BD37" t="s">
        <v>298</v>
      </c>
      <c r="BE37">
        <v>1990</v>
      </c>
      <c r="BF37" t="s">
        <v>7</v>
      </c>
      <c r="BG37">
        <v>0.160481818181818</v>
      </c>
      <c r="BH37">
        <v>4.8055838733328101E-3</v>
      </c>
    </row>
    <row r="38" spans="1:64">
      <c r="A38">
        <v>1983</v>
      </c>
      <c r="B38" t="s">
        <v>298</v>
      </c>
      <c r="C38" t="s">
        <v>15</v>
      </c>
      <c r="D38" s="2" t="s">
        <v>345</v>
      </c>
      <c r="E38">
        <v>0.1026</v>
      </c>
      <c r="F38">
        <v>0.1026</v>
      </c>
      <c r="G38" s="2">
        <f t="shared" si="0"/>
        <v>0.20519999999999999</v>
      </c>
      <c r="I38" t="s">
        <v>310</v>
      </c>
      <c r="J38" s="2" cm="1">
        <f t="array" ref="J38">AVERAGE(IF(($B$2:$B$393="SURROUND")*($A$2:$A$393=J36),$F$2:$F$393,""))</f>
        <v>0.12661600000000001</v>
      </c>
      <c r="K38" s="2" cm="1">
        <f t="array" ref="K38">AVERAGE(IF(($B$2:$B$393="SURROUND")*($A$2:$A$393=K36),$F$2:$F$393,""))</f>
        <v>0.125112</v>
      </c>
      <c r="L38" s="2" cm="1">
        <f t="array" ref="L38">AVERAGE(IF(($B$2:$B$393="SURROUND")*($A$2:$A$393=L36),$F$2:$F$393,""))</f>
        <v>0.12063214285714299</v>
      </c>
      <c r="M38" s="2" cm="1">
        <f t="array" ref="M38">AVERAGE(IF(($B$2:$B$393="SURROUND")*($A$2:$A$393=M36),$F$2:$F$393,""))</f>
        <v>0.116891176470588</v>
      </c>
      <c r="N38" s="2" cm="1">
        <f t="array" ref="N38">AVERAGE(IF(($B$2:$B$393="SURROUND")*($A$2:$A$393=N36),$F$2:$F$393,""))</f>
        <v>0.118363888888889</v>
      </c>
      <c r="O38" s="2" cm="1">
        <f t="array" ref="O38">AVERAGE(IF(($B$2:$B$393="SURROUND")*($A$2:$A$393=O36),$F$2:$F$393,""))</f>
        <v>0.119244444444444</v>
      </c>
      <c r="P38" s="2" cm="1">
        <f t="array" ref="P38">AVERAGE(IF(($B$2:$B$393="SURROUND")*($A$2:$A$393=P36),$F$2:$F$393,""))</f>
        <v>0.11990000000000001</v>
      </c>
      <c r="Q38" s="2" cm="1">
        <f t="array" ref="Q38">AVERAGE(IF(($B$2:$B$393="SURROUND")*($A$2:$A$393=Q36),$F$2:$F$393,""))</f>
        <v>0.15309696969697001</v>
      </c>
      <c r="R38" s="2" cm="1">
        <f t="array" ref="R38">AVERAGE(IF(($B$2:$B$393="SURROUND")*($A$2:$A$393=R36),$F$2:$F$393,""))</f>
        <v>0.14018</v>
      </c>
      <c r="AE38" t="s">
        <v>350</v>
      </c>
      <c r="AF38">
        <v>1990</v>
      </c>
      <c r="AG38" s="2">
        <f>Q25</f>
        <v>0.16200769230769199</v>
      </c>
      <c r="AH38" s="2">
        <f>Q31</f>
        <v>0.15599285714285699</v>
      </c>
      <c r="AI38" s="2">
        <f>Q37</f>
        <v>0.160481818181818</v>
      </c>
      <c r="AK38" t="s">
        <v>350</v>
      </c>
      <c r="AL38">
        <v>1989</v>
      </c>
      <c r="AM38" t="s">
        <v>3</v>
      </c>
      <c r="AN38">
        <v>0.13139166666666699</v>
      </c>
      <c r="AU38" t="s">
        <v>310</v>
      </c>
      <c r="AV38">
        <v>1986</v>
      </c>
      <c r="AW38" t="s">
        <v>3</v>
      </c>
      <c r="AX38">
        <v>1.0986653404485965E-2</v>
      </c>
      <c r="BD38" t="s">
        <v>298</v>
      </c>
      <c r="BE38">
        <v>1991</v>
      </c>
      <c r="BF38" t="s">
        <v>3</v>
      </c>
      <c r="BG38">
        <v>0.14117692307692301</v>
      </c>
      <c r="BH38">
        <v>4.5816943456458365E-3</v>
      </c>
    </row>
    <row r="39" spans="1:64">
      <c r="A39">
        <v>1983</v>
      </c>
      <c r="B39" t="s">
        <v>298</v>
      </c>
      <c r="C39" t="s">
        <v>15</v>
      </c>
      <c r="D39" s="2">
        <v>0.1095</v>
      </c>
      <c r="E39">
        <v>0.1095</v>
      </c>
      <c r="F39">
        <v>0.1095</v>
      </c>
      <c r="G39" s="2">
        <f t="shared" si="0"/>
        <v>0.32850000000000001</v>
      </c>
      <c r="AE39" t="s">
        <v>342</v>
      </c>
      <c r="AF39">
        <v>1990</v>
      </c>
      <c r="AG39" s="2">
        <f>Q26</f>
        <v>0.16094</v>
      </c>
      <c r="AH39" s="2">
        <f>Q32</f>
        <v>0.15185588235294101</v>
      </c>
      <c r="AI39" s="2">
        <f>Q38</f>
        <v>0.15309696969697001</v>
      </c>
      <c r="AK39" t="s">
        <v>350</v>
      </c>
      <c r="AL39">
        <v>1989</v>
      </c>
      <c r="AM39" t="s">
        <v>5</v>
      </c>
      <c r="AN39">
        <v>0.124015384615385</v>
      </c>
      <c r="AU39" t="s">
        <v>310</v>
      </c>
      <c r="AV39">
        <v>1986</v>
      </c>
      <c r="AW39" t="s">
        <v>5</v>
      </c>
      <c r="AX39">
        <v>1.18064007421758E-2</v>
      </c>
      <c r="BD39" t="s">
        <v>298</v>
      </c>
      <c r="BE39">
        <v>1991</v>
      </c>
      <c r="BF39" t="s">
        <v>5</v>
      </c>
      <c r="BG39">
        <v>0.13538333333333299</v>
      </c>
      <c r="BH39">
        <v>5.8576807904173302E-3</v>
      </c>
    </row>
    <row r="40" spans="1:64">
      <c r="A40">
        <v>1983</v>
      </c>
      <c r="B40" t="s">
        <v>298</v>
      </c>
      <c r="C40" t="s">
        <v>18</v>
      </c>
      <c r="D40" s="2">
        <v>0.1293</v>
      </c>
      <c r="E40">
        <v>0.1215</v>
      </c>
      <c r="F40" t="s">
        <v>16</v>
      </c>
      <c r="G40" s="2">
        <f t="shared" si="0"/>
        <v>0.25080000000000002</v>
      </c>
      <c r="AE40" t="s">
        <v>350</v>
      </c>
      <c r="AF40">
        <v>1991</v>
      </c>
      <c r="AG40" s="2">
        <f>R25</f>
        <v>0.14117692307692301</v>
      </c>
      <c r="AH40" s="2">
        <f>R31</f>
        <v>0.13538333333333299</v>
      </c>
      <c r="AI40" s="2">
        <f>R37</f>
        <v>0.142327272727273</v>
      </c>
      <c r="AK40" t="s">
        <v>350</v>
      </c>
      <c r="AL40">
        <v>1989</v>
      </c>
      <c r="AM40" t="s">
        <v>7</v>
      </c>
      <c r="AN40">
        <v>0.125822222222222</v>
      </c>
      <c r="AU40" t="s">
        <v>310</v>
      </c>
      <c r="AV40">
        <v>1986</v>
      </c>
      <c r="AW40" t="s">
        <v>7</v>
      </c>
      <c r="AX40">
        <v>1.27935676936324E-2</v>
      </c>
      <c r="BD40" t="s">
        <v>298</v>
      </c>
      <c r="BE40">
        <v>1991</v>
      </c>
      <c r="BF40" t="s">
        <v>7</v>
      </c>
      <c r="BG40">
        <v>0.142327272727273</v>
      </c>
      <c r="BH40">
        <v>6.5029363996722102E-3</v>
      </c>
    </row>
    <row r="41" spans="1:64">
      <c r="A41">
        <v>1984</v>
      </c>
      <c r="B41" t="s">
        <v>310</v>
      </c>
      <c r="C41" t="s">
        <v>25</v>
      </c>
      <c r="D41" s="2">
        <v>0.127</v>
      </c>
      <c r="E41">
        <v>0.127</v>
      </c>
      <c r="F41">
        <v>0.127</v>
      </c>
      <c r="G41" s="2">
        <f t="shared" si="0"/>
        <v>0.38100000000000001</v>
      </c>
      <c r="J41" s="2"/>
      <c r="AE41" t="s">
        <v>342</v>
      </c>
      <c r="AF41">
        <v>1991</v>
      </c>
      <c r="AG41" s="2">
        <f>R26</f>
        <v>0.14518</v>
      </c>
      <c r="AH41" s="2">
        <f>R32</f>
        <v>0.13638</v>
      </c>
      <c r="AI41" s="2">
        <f>R38</f>
        <v>0.14018</v>
      </c>
      <c r="AK41" t="s">
        <v>342</v>
      </c>
      <c r="AL41">
        <v>1989</v>
      </c>
      <c r="AM41" t="s">
        <v>3</v>
      </c>
      <c r="AN41">
        <v>0.129731578947368</v>
      </c>
      <c r="AU41" t="s">
        <v>310</v>
      </c>
      <c r="AV41">
        <v>1987</v>
      </c>
      <c r="AW41" t="s">
        <v>3</v>
      </c>
      <c r="AX41">
        <v>1.0260775598024543E-2</v>
      </c>
      <c r="BD41" t="s">
        <v>310</v>
      </c>
      <c r="BE41">
        <v>1987</v>
      </c>
      <c r="BF41" t="s">
        <v>3</v>
      </c>
      <c r="BG41">
        <v>0.126386111111111</v>
      </c>
      <c r="BH41">
        <v>1.0260775598024543E-2</v>
      </c>
    </row>
    <row r="42" spans="1:64">
      <c r="A42">
        <v>1984</v>
      </c>
      <c r="B42" t="s">
        <v>310</v>
      </c>
      <c r="C42" t="s">
        <v>21</v>
      </c>
      <c r="D42" s="2">
        <v>0.1421</v>
      </c>
      <c r="E42">
        <v>0.13769999999999999</v>
      </c>
      <c r="F42">
        <v>0.14580000000000001</v>
      </c>
      <c r="G42" s="2">
        <f t="shared" si="0"/>
        <v>0.42559999999999998</v>
      </c>
      <c r="I42" s="2"/>
      <c r="J42" s="2"/>
      <c r="AK42" t="s">
        <v>342</v>
      </c>
      <c r="AL42">
        <v>1989</v>
      </c>
      <c r="AM42" t="s">
        <v>5</v>
      </c>
      <c r="AN42">
        <v>0.11847222222222201</v>
      </c>
      <c r="AQ42" s="18" t="s">
        <v>351</v>
      </c>
      <c r="AR42" t="s">
        <v>5</v>
      </c>
      <c r="AU42" t="s">
        <v>310</v>
      </c>
      <c r="AV42">
        <v>1987</v>
      </c>
      <c r="AW42" t="s">
        <v>5</v>
      </c>
      <c r="AX42">
        <v>1.23510030892606E-2</v>
      </c>
      <c r="AZ42" s="18" t="s">
        <v>351</v>
      </c>
      <c r="BA42" t="s">
        <v>3</v>
      </c>
      <c r="BD42" t="s">
        <v>310</v>
      </c>
      <c r="BE42">
        <v>1987</v>
      </c>
      <c r="BF42" t="s">
        <v>5</v>
      </c>
      <c r="BG42">
        <v>0.117308571428571</v>
      </c>
      <c r="BH42">
        <v>1.23510030892606E-2</v>
      </c>
      <c r="BJ42" s="18" t="s">
        <v>351</v>
      </c>
      <c r="BK42" t="s">
        <v>3</v>
      </c>
    </row>
    <row r="43" spans="1:64">
      <c r="A43">
        <v>1984</v>
      </c>
      <c r="B43" t="s">
        <v>310</v>
      </c>
      <c r="C43" t="s">
        <v>25</v>
      </c>
      <c r="D43" s="2">
        <v>0.1255</v>
      </c>
      <c r="E43">
        <v>0.11799999999999999</v>
      </c>
      <c r="F43">
        <v>0.123</v>
      </c>
      <c r="G43" s="2">
        <f t="shared" si="0"/>
        <v>0.36649999999999999</v>
      </c>
      <c r="J43" s="2"/>
      <c r="AK43" t="s">
        <v>342</v>
      </c>
      <c r="AL43">
        <v>1989</v>
      </c>
      <c r="AM43" t="s">
        <v>7</v>
      </c>
      <c r="AN43">
        <v>0.11990000000000001</v>
      </c>
      <c r="AU43" t="s">
        <v>310</v>
      </c>
      <c r="AV43">
        <v>1987</v>
      </c>
      <c r="AW43" t="s">
        <v>7</v>
      </c>
      <c r="AX43">
        <v>1.2805069370655699E-2</v>
      </c>
      <c r="BD43" t="s">
        <v>310</v>
      </c>
      <c r="BE43">
        <v>1987</v>
      </c>
      <c r="BF43" t="s">
        <v>7</v>
      </c>
      <c r="BG43">
        <v>0.118363888888889</v>
      </c>
      <c r="BH43">
        <v>1.2805069370655699E-2</v>
      </c>
    </row>
    <row r="44" spans="1:64">
      <c r="A44">
        <v>1984</v>
      </c>
      <c r="B44" t="s">
        <v>310</v>
      </c>
      <c r="C44" t="s">
        <v>25</v>
      </c>
      <c r="D44" s="2">
        <v>0.127</v>
      </c>
      <c r="E44">
        <v>0.11700000000000001</v>
      </c>
      <c r="F44">
        <v>0.11700000000000001</v>
      </c>
      <c r="G44" s="2">
        <f t="shared" si="0"/>
        <v>0.36099999999999999</v>
      </c>
      <c r="J44" s="2"/>
      <c r="AK44" t="s">
        <v>350</v>
      </c>
      <c r="AL44">
        <v>1990</v>
      </c>
      <c r="AM44" t="s">
        <v>3</v>
      </c>
      <c r="AN44">
        <v>0.16200769230769199</v>
      </c>
      <c r="AQ44" s="18" t="s">
        <v>353</v>
      </c>
      <c r="AR44" s="18" t="s">
        <v>306</v>
      </c>
      <c r="AU44" t="s">
        <v>310</v>
      </c>
      <c r="AV44">
        <v>1988</v>
      </c>
      <c r="AW44" t="s">
        <v>3</v>
      </c>
      <c r="AX44">
        <v>1.1354490056556678E-2</v>
      </c>
      <c r="AZ44" s="18" t="s">
        <v>357</v>
      </c>
      <c r="BA44" s="18" t="s">
        <v>306</v>
      </c>
      <c r="BD44" t="s">
        <v>310</v>
      </c>
      <c r="BE44">
        <v>1988</v>
      </c>
      <c r="BF44" t="s">
        <v>3</v>
      </c>
      <c r="BG44">
        <v>0.12768888888888899</v>
      </c>
      <c r="BH44">
        <v>1.1354490056556678E-2</v>
      </c>
      <c r="BJ44" s="18" t="s">
        <v>359</v>
      </c>
      <c r="BK44" s="18" t="s">
        <v>306</v>
      </c>
    </row>
    <row r="45" spans="1:64">
      <c r="A45">
        <v>1984</v>
      </c>
      <c r="B45" t="s">
        <v>310</v>
      </c>
      <c r="C45" t="s">
        <v>15</v>
      </c>
      <c r="D45" s="2">
        <v>0.13500000000000001</v>
      </c>
      <c r="E45">
        <v>0.125</v>
      </c>
      <c r="F45">
        <v>0.13150000000000001</v>
      </c>
      <c r="G45" s="2">
        <f t="shared" si="0"/>
        <v>0.39150000000000001</v>
      </c>
      <c r="J45" s="2"/>
      <c r="AK45" t="s">
        <v>350</v>
      </c>
      <c r="AL45">
        <v>1990</v>
      </c>
      <c r="AM45" t="s">
        <v>5</v>
      </c>
      <c r="AN45">
        <v>0.15599285714285699</v>
      </c>
      <c r="AQ45" s="18" t="s">
        <v>309</v>
      </c>
      <c r="AR45" t="s">
        <v>342</v>
      </c>
      <c r="AS45" t="s">
        <v>350</v>
      </c>
      <c r="AU45" t="s">
        <v>310</v>
      </c>
      <c r="AV45">
        <v>1988</v>
      </c>
      <c r="AW45" t="s">
        <v>5</v>
      </c>
      <c r="AX45">
        <v>1.28552150748964E-2</v>
      </c>
      <c r="AZ45" s="18" t="s">
        <v>309</v>
      </c>
      <c r="BA45" t="s">
        <v>310</v>
      </c>
      <c r="BB45" t="s">
        <v>298</v>
      </c>
      <c r="BD45" t="s">
        <v>310</v>
      </c>
      <c r="BE45">
        <v>1988</v>
      </c>
      <c r="BF45" t="s">
        <v>5</v>
      </c>
      <c r="BG45">
        <v>0.11818571428571401</v>
      </c>
      <c r="BH45">
        <v>1.28552150748964E-2</v>
      </c>
      <c r="BJ45" s="18" t="s">
        <v>309</v>
      </c>
      <c r="BK45" t="s">
        <v>310</v>
      </c>
      <c r="BL45" t="s">
        <v>298</v>
      </c>
    </row>
    <row r="46" spans="1:64">
      <c r="A46">
        <v>1984</v>
      </c>
      <c r="B46" t="s">
        <v>310</v>
      </c>
      <c r="C46" t="s">
        <v>55</v>
      </c>
      <c r="D46" s="2" t="s">
        <v>345</v>
      </c>
      <c r="E46">
        <v>0.112</v>
      </c>
      <c r="F46">
        <v>0.112</v>
      </c>
      <c r="G46" s="2">
        <f t="shared" si="0"/>
        <v>0.224</v>
      </c>
      <c r="J46" s="2"/>
      <c r="AE46" t="s">
        <v>355</v>
      </c>
      <c r="AK46" t="s">
        <v>350</v>
      </c>
      <c r="AL46">
        <v>1990</v>
      </c>
      <c r="AM46" t="s">
        <v>7</v>
      </c>
      <c r="AN46">
        <v>0.160481818181818</v>
      </c>
      <c r="AQ46" s="3">
        <v>1983</v>
      </c>
      <c r="AR46" s="2">
        <v>0.124468</v>
      </c>
      <c r="AS46" s="2">
        <v>0.11211818181818201</v>
      </c>
      <c r="AU46" t="s">
        <v>310</v>
      </c>
      <c r="AV46">
        <v>1988</v>
      </c>
      <c r="AW46" t="s">
        <v>7</v>
      </c>
      <c r="AX46">
        <v>1.35999883286594E-2</v>
      </c>
      <c r="AZ46" s="3">
        <v>1983</v>
      </c>
      <c r="BA46">
        <v>1.4261220532170093E-2</v>
      </c>
      <c r="BB46">
        <v>1.4247904329331155E-2</v>
      </c>
      <c r="BD46" t="s">
        <v>310</v>
      </c>
      <c r="BE46">
        <v>1988</v>
      </c>
      <c r="BF46" t="s">
        <v>7</v>
      </c>
      <c r="BG46">
        <v>0.119244444444444</v>
      </c>
      <c r="BH46">
        <v>1.35999883286594E-2</v>
      </c>
      <c r="BJ46" s="3">
        <v>1983</v>
      </c>
      <c r="BK46" s="20">
        <v>0.13171739130434801</v>
      </c>
      <c r="BL46" s="20">
        <v>0.118644444444444</v>
      </c>
    </row>
    <row r="47" spans="1:64">
      <c r="A47">
        <v>1984</v>
      </c>
      <c r="B47" t="s">
        <v>310</v>
      </c>
      <c r="C47" t="s">
        <v>25</v>
      </c>
      <c r="D47" s="2">
        <v>0.126</v>
      </c>
      <c r="E47">
        <v>0.11600000000000001</v>
      </c>
      <c r="F47" t="s">
        <v>16</v>
      </c>
      <c r="G47" s="2">
        <f t="shared" si="0"/>
        <v>0.24199999999999999</v>
      </c>
      <c r="J47" s="2"/>
      <c r="AE47" t="s">
        <v>1</v>
      </c>
      <c r="AF47" t="s">
        <v>0</v>
      </c>
      <c r="AG47" t="s">
        <v>3</v>
      </c>
      <c r="AH47" t="s">
        <v>5</v>
      </c>
      <c r="AI47" t="s">
        <v>7</v>
      </c>
      <c r="AK47" t="s">
        <v>342</v>
      </c>
      <c r="AL47">
        <v>1990</v>
      </c>
      <c r="AM47" t="s">
        <v>3</v>
      </c>
      <c r="AN47">
        <v>0.16094</v>
      </c>
      <c r="AQ47" s="3">
        <v>1984</v>
      </c>
      <c r="AR47" s="2">
        <v>0.123569230769231</v>
      </c>
      <c r="AS47" s="2">
        <v>0.133841666666667</v>
      </c>
      <c r="AU47" t="s">
        <v>310</v>
      </c>
      <c r="AV47">
        <v>1989</v>
      </c>
      <c r="AW47" t="s">
        <v>3</v>
      </c>
      <c r="AX47">
        <v>7.5165800612993685E-3</v>
      </c>
      <c r="AZ47" s="3">
        <v>1984</v>
      </c>
      <c r="BA47">
        <v>1.3741888595258633E-2</v>
      </c>
      <c r="BB47">
        <v>4.7487132760125382E-3</v>
      </c>
      <c r="BD47" t="s">
        <v>310</v>
      </c>
      <c r="BE47">
        <v>1989</v>
      </c>
      <c r="BF47" t="s">
        <v>3</v>
      </c>
      <c r="BG47">
        <v>0.129731578947368</v>
      </c>
      <c r="BH47">
        <v>7.5165800612993685E-3</v>
      </c>
      <c r="BJ47" s="3">
        <v>1984</v>
      </c>
      <c r="BK47" s="20">
        <v>0.13089545454545501</v>
      </c>
      <c r="BL47" s="20">
        <v>0.13885555555555601</v>
      </c>
    </row>
    <row r="48" spans="1:64">
      <c r="A48">
        <v>1984</v>
      </c>
      <c r="B48" t="s">
        <v>310</v>
      </c>
      <c r="C48" t="s">
        <v>15</v>
      </c>
      <c r="D48" s="2">
        <v>0.128</v>
      </c>
      <c r="E48">
        <v>0.12</v>
      </c>
      <c r="F48">
        <v>0.122</v>
      </c>
      <c r="G48" s="2">
        <f t="shared" si="0"/>
        <v>0.37</v>
      </c>
      <c r="J48" s="2"/>
      <c r="AE48" s="1" t="s">
        <v>298</v>
      </c>
      <c r="AF48">
        <v>1983</v>
      </c>
      <c r="AG48" s="2">
        <f>J4</f>
        <v>1.4247904329331155E-2</v>
      </c>
      <c r="AH48" s="2">
        <f>J10</f>
        <v>1.2225450354225937E-2</v>
      </c>
      <c r="AI48" s="2">
        <f>J16</f>
        <v>3.9474042103640698E-3</v>
      </c>
      <c r="AK48" t="s">
        <v>342</v>
      </c>
      <c r="AL48">
        <v>1990</v>
      </c>
      <c r="AM48" t="s">
        <v>5</v>
      </c>
      <c r="AN48">
        <v>0.15185588235294101</v>
      </c>
      <c r="AQ48" s="3">
        <v>1985</v>
      </c>
      <c r="AR48" s="2">
        <v>0.119989655172414</v>
      </c>
      <c r="AS48" s="2">
        <v>0.136584615384615</v>
      </c>
      <c r="AU48" t="s">
        <v>310</v>
      </c>
      <c r="AV48">
        <v>1989</v>
      </c>
      <c r="AW48" t="s">
        <v>5</v>
      </c>
      <c r="AX48">
        <v>6.5595126609532799E-3</v>
      </c>
      <c r="AZ48" s="3">
        <v>1985</v>
      </c>
      <c r="BA48">
        <v>1.3218099479356015E-2</v>
      </c>
      <c r="BB48">
        <v>5.3426585142604737E-3</v>
      </c>
      <c r="BD48" t="s">
        <v>310</v>
      </c>
      <c r="BE48">
        <v>1989</v>
      </c>
      <c r="BF48" t="s">
        <v>5</v>
      </c>
      <c r="BG48">
        <v>0.11847222222222201</v>
      </c>
      <c r="BH48">
        <v>6.5595126609532799E-3</v>
      </c>
      <c r="BJ48" s="3">
        <v>1985</v>
      </c>
      <c r="BK48" s="20">
        <v>0.12791538461538501</v>
      </c>
      <c r="BL48" s="20">
        <v>0.14152000000000001</v>
      </c>
    </row>
    <row r="49" spans="1:64">
      <c r="A49">
        <v>1984</v>
      </c>
      <c r="B49" t="s">
        <v>310</v>
      </c>
      <c r="C49" t="s">
        <v>25</v>
      </c>
      <c r="D49" s="2">
        <v>0.125</v>
      </c>
      <c r="E49" t="s">
        <v>16</v>
      </c>
      <c r="F49" t="s">
        <v>16</v>
      </c>
      <c r="G49" s="2">
        <f t="shared" si="0"/>
        <v>0.125</v>
      </c>
      <c r="J49" s="2"/>
      <c r="AE49" s="1" t="s">
        <v>298</v>
      </c>
      <c r="AF49">
        <v>1984</v>
      </c>
      <c r="AG49" s="2">
        <f>K4</f>
        <v>4.7487132760125382E-3</v>
      </c>
      <c r="AH49" s="2">
        <f>K10</f>
        <v>6.3571660829382596E-3</v>
      </c>
      <c r="AI49" s="2">
        <f>K16</f>
        <v>7.7852210416061197E-3</v>
      </c>
      <c r="AK49" t="s">
        <v>342</v>
      </c>
      <c r="AL49">
        <v>1990</v>
      </c>
      <c r="AM49" t="s">
        <v>7</v>
      </c>
      <c r="AN49">
        <v>0.15309696969697001</v>
      </c>
      <c r="AQ49" s="3">
        <v>1986</v>
      </c>
      <c r="AR49" s="2">
        <v>0.11782121212121199</v>
      </c>
      <c r="AS49" s="2">
        <v>0.13909230769230799</v>
      </c>
      <c r="AU49" t="s">
        <v>310</v>
      </c>
      <c r="AV49">
        <v>1989</v>
      </c>
      <c r="AW49" t="s">
        <v>7</v>
      </c>
      <c r="AX49">
        <v>7.7020560025662403E-3</v>
      </c>
      <c r="AZ49" s="3">
        <v>1986</v>
      </c>
      <c r="BA49">
        <v>1.0986653404485965E-2</v>
      </c>
      <c r="BB49">
        <v>4.4284559636765253E-3</v>
      </c>
      <c r="BD49" t="s">
        <v>310</v>
      </c>
      <c r="BE49">
        <v>1989</v>
      </c>
      <c r="BF49" t="s">
        <v>7</v>
      </c>
      <c r="BG49">
        <v>0.11990000000000001</v>
      </c>
      <c r="BH49">
        <v>7.7020560025662403E-3</v>
      </c>
      <c r="BJ49" s="3">
        <v>1986</v>
      </c>
      <c r="BK49" s="20">
        <v>0.12530303030303</v>
      </c>
      <c r="BL49" s="20">
        <v>0.14463000000000001</v>
      </c>
    </row>
    <row r="50" spans="1:64">
      <c r="A50">
        <v>1984</v>
      </c>
      <c r="B50" t="s">
        <v>310</v>
      </c>
      <c r="C50" t="s">
        <v>25</v>
      </c>
      <c r="D50" s="2">
        <v>0.125</v>
      </c>
      <c r="E50">
        <v>0.11799999999999999</v>
      </c>
      <c r="F50">
        <v>0.122</v>
      </c>
      <c r="G50" s="2">
        <f t="shared" si="0"/>
        <v>0.36499999999999999</v>
      </c>
      <c r="J50" s="2"/>
      <c r="AE50" s="1" t="s">
        <v>298</v>
      </c>
      <c r="AF50">
        <v>1985</v>
      </c>
      <c r="AG50" s="2">
        <f>L4</f>
        <v>5.3426585142604737E-3</v>
      </c>
      <c r="AH50" s="2">
        <f>L10</f>
        <v>5.3744528642219501E-3</v>
      </c>
      <c r="AI50" s="2">
        <f>L16</f>
        <v>6.2191371320036602E-3</v>
      </c>
      <c r="AK50" t="s">
        <v>350</v>
      </c>
      <c r="AL50">
        <v>1991</v>
      </c>
      <c r="AM50" t="s">
        <v>3</v>
      </c>
      <c r="AN50">
        <v>0.14117692307692301</v>
      </c>
      <c r="AQ50" s="3">
        <v>1987</v>
      </c>
      <c r="AR50" s="2">
        <v>0.117308571428571</v>
      </c>
      <c r="AS50" s="2">
        <v>0.14242307692307701</v>
      </c>
      <c r="AU50" t="s">
        <v>310</v>
      </c>
      <c r="AV50">
        <v>1990</v>
      </c>
      <c r="AW50" t="s">
        <v>3</v>
      </c>
      <c r="AX50">
        <v>7.9465937949020956E-3</v>
      </c>
      <c r="AZ50" s="3">
        <v>1987</v>
      </c>
      <c r="BA50">
        <v>1.0260775598024543E-2</v>
      </c>
      <c r="BB50">
        <v>5.27195984488317E-3</v>
      </c>
      <c r="BD50" t="s">
        <v>310</v>
      </c>
      <c r="BE50">
        <v>1990</v>
      </c>
      <c r="BF50" t="s">
        <v>3</v>
      </c>
      <c r="BG50">
        <v>0.16094</v>
      </c>
      <c r="BH50">
        <v>7.9465937949020956E-3</v>
      </c>
      <c r="BJ50" s="3">
        <v>1987</v>
      </c>
      <c r="BK50" s="20">
        <v>0.126386111111111</v>
      </c>
      <c r="BL50" s="20">
        <v>0.149458333333333</v>
      </c>
    </row>
    <row r="51" spans="1:64">
      <c r="A51">
        <v>1984</v>
      </c>
      <c r="B51" t="s">
        <v>310</v>
      </c>
      <c r="C51" t="s">
        <v>28</v>
      </c>
      <c r="D51" s="2">
        <v>0.1225</v>
      </c>
      <c r="E51">
        <v>0.1154</v>
      </c>
      <c r="F51">
        <v>0.1145</v>
      </c>
      <c r="G51" s="2">
        <f t="shared" si="0"/>
        <v>0.35239999999999999</v>
      </c>
      <c r="J51" s="2"/>
      <c r="AE51" s="1" t="s">
        <v>298</v>
      </c>
      <c r="AF51">
        <v>1986</v>
      </c>
      <c r="AG51" s="2">
        <f>M4</f>
        <v>4.4284559636765253E-3</v>
      </c>
      <c r="AH51" s="2">
        <f>M10</f>
        <v>5.3320511279215197E-3</v>
      </c>
      <c r="AI51" s="2">
        <f>M16</f>
        <v>5.2113018207225999E-3</v>
      </c>
      <c r="AK51" t="s">
        <v>350</v>
      </c>
      <c r="AL51">
        <v>1991</v>
      </c>
      <c r="AM51" t="s">
        <v>5</v>
      </c>
      <c r="AN51">
        <v>0.13538333333333299</v>
      </c>
      <c r="AQ51" s="3">
        <v>1988</v>
      </c>
      <c r="AR51" s="2">
        <v>0.11818571428571401</v>
      </c>
      <c r="AS51" s="2">
        <v>0.14481538461538501</v>
      </c>
      <c r="AU51" t="s">
        <v>310</v>
      </c>
      <c r="AV51">
        <v>1990</v>
      </c>
      <c r="AW51" t="s">
        <v>5</v>
      </c>
      <c r="AX51">
        <v>9.5452412759470303E-3</v>
      </c>
      <c r="AZ51" s="3">
        <v>1988</v>
      </c>
      <c r="BA51">
        <v>1.1354490056556678E-2</v>
      </c>
      <c r="BB51">
        <v>4.9909008113857428E-3</v>
      </c>
      <c r="BD51" t="s">
        <v>310</v>
      </c>
      <c r="BE51">
        <v>1990</v>
      </c>
      <c r="BF51" t="s">
        <v>5</v>
      </c>
      <c r="BG51">
        <v>0.15185588235294101</v>
      </c>
      <c r="BH51">
        <v>9.5452412759470303E-3</v>
      </c>
      <c r="BJ51" s="3">
        <v>1988</v>
      </c>
      <c r="BK51" s="20">
        <v>0.12768888888888899</v>
      </c>
      <c r="BL51" s="20">
        <v>0.15129999999999999</v>
      </c>
    </row>
    <row r="52" spans="1:64">
      <c r="A52">
        <v>1984</v>
      </c>
      <c r="B52" t="s">
        <v>310</v>
      </c>
      <c r="C52" t="s">
        <v>25</v>
      </c>
      <c r="D52" s="2">
        <v>0.125</v>
      </c>
      <c r="E52">
        <v>0.125</v>
      </c>
      <c r="F52">
        <v>0.125</v>
      </c>
      <c r="G52" s="2">
        <f t="shared" si="0"/>
        <v>0.375</v>
      </c>
      <c r="AE52" s="1" t="s">
        <v>298</v>
      </c>
      <c r="AF52">
        <v>1987</v>
      </c>
      <c r="AG52" s="2">
        <f>N4</f>
        <v>5.27195984488317E-3</v>
      </c>
      <c r="AH52" s="2">
        <f>N10</f>
        <v>7.0173776970881103E-3</v>
      </c>
      <c r="AI52" s="2">
        <f>N16</f>
        <v>6.3292593413071504E-3</v>
      </c>
      <c r="AK52" t="s">
        <v>350</v>
      </c>
      <c r="AL52">
        <v>1991</v>
      </c>
      <c r="AM52" t="s">
        <v>7</v>
      </c>
      <c r="AN52">
        <v>0.142327272727273</v>
      </c>
      <c r="AQ52" s="3">
        <v>1989</v>
      </c>
      <c r="AR52" s="2">
        <v>0.11847222222222201</v>
      </c>
      <c r="AS52" s="2">
        <v>0.124015384615385</v>
      </c>
      <c r="AU52" t="s">
        <v>310</v>
      </c>
      <c r="AV52">
        <v>1990</v>
      </c>
      <c r="AW52" t="s">
        <v>7</v>
      </c>
      <c r="AX52">
        <v>9.9329780544559296E-3</v>
      </c>
      <c r="AZ52" s="3">
        <v>1989</v>
      </c>
      <c r="BA52">
        <v>7.5165800612993685E-3</v>
      </c>
      <c r="BB52">
        <v>9.4499118161670368E-3</v>
      </c>
      <c r="BD52" t="s">
        <v>310</v>
      </c>
      <c r="BE52">
        <v>1990</v>
      </c>
      <c r="BF52" t="s">
        <v>7</v>
      </c>
      <c r="BG52">
        <v>0.15309696969697001</v>
      </c>
      <c r="BH52">
        <v>9.9329780544559296E-3</v>
      </c>
      <c r="BJ52" s="3">
        <v>1989</v>
      </c>
      <c r="BK52" s="20">
        <v>0.129731578947368</v>
      </c>
      <c r="BL52" s="20">
        <v>0.13139166666666699</v>
      </c>
    </row>
    <row r="53" spans="1:64">
      <c r="A53">
        <v>1984</v>
      </c>
      <c r="B53" t="s">
        <v>310</v>
      </c>
      <c r="C53" t="s">
        <v>43</v>
      </c>
      <c r="D53" s="2">
        <v>0.1295</v>
      </c>
      <c r="E53">
        <v>0.12</v>
      </c>
      <c r="F53">
        <v>0.125</v>
      </c>
      <c r="G53" s="2">
        <f t="shared" si="0"/>
        <v>0.3745</v>
      </c>
      <c r="AE53" s="1" t="s">
        <v>298</v>
      </c>
      <c r="AF53">
        <v>1988</v>
      </c>
      <c r="AG53" s="2">
        <f>O4</f>
        <v>4.9909008113857428E-3</v>
      </c>
      <c r="AH53" s="2">
        <f>O10</f>
        <v>6.1801896079120098E-3</v>
      </c>
      <c r="AI53" s="2">
        <f>O16</f>
        <v>4.25532346335478E-3</v>
      </c>
      <c r="AK53" t="s">
        <v>342</v>
      </c>
      <c r="AL53">
        <v>1991</v>
      </c>
      <c r="AM53" t="s">
        <v>3</v>
      </c>
      <c r="AN53">
        <v>0.14518</v>
      </c>
      <c r="AQ53" s="3">
        <v>1990</v>
      </c>
      <c r="AR53" s="2">
        <v>0.15185588235294101</v>
      </c>
      <c r="AS53" s="2">
        <v>0.15599285714285699</v>
      </c>
      <c r="AU53" t="s">
        <v>310</v>
      </c>
      <c r="AV53">
        <v>1991</v>
      </c>
      <c r="AW53" t="s">
        <v>3</v>
      </c>
      <c r="AX53">
        <v>6.5201226982319919E-3</v>
      </c>
      <c r="AZ53" s="3">
        <v>1990</v>
      </c>
      <c r="BA53">
        <v>7.9465937949020956E-3</v>
      </c>
      <c r="BB53">
        <v>4.0729722027166553E-3</v>
      </c>
      <c r="BD53" t="s">
        <v>310</v>
      </c>
      <c r="BE53">
        <v>1991</v>
      </c>
      <c r="BF53" t="s">
        <v>3</v>
      </c>
      <c r="BG53">
        <v>0.14518</v>
      </c>
      <c r="BH53">
        <v>6.5201226982319919E-3</v>
      </c>
      <c r="BJ53" s="3">
        <v>1990</v>
      </c>
      <c r="BK53" s="20">
        <v>0.16094</v>
      </c>
      <c r="BL53" s="20">
        <v>0.16200769230769199</v>
      </c>
    </row>
    <row r="54" spans="1:64">
      <c r="A54">
        <v>1984</v>
      </c>
      <c r="B54" t="s">
        <v>310</v>
      </c>
      <c r="C54" t="s">
        <v>28</v>
      </c>
      <c r="D54" s="2">
        <v>0.1106</v>
      </c>
      <c r="E54" t="s">
        <v>16</v>
      </c>
      <c r="F54">
        <v>0.1095</v>
      </c>
      <c r="G54" s="2">
        <f t="shared" si="0"/>
        <v>0.22009999999999999</v>
      </c>
      <c r="AE54" s="1" t="s">
        <v>298</v>
      </c>
      <c r="AF54">
        <v>1989</v>
      </c>
      <c r="AG54" s="2">
        <f>P4</f>
        <v>9.4499118161670368E-3</v>
      </c>
      <c r="AH54" s="2">
        <f>P10</f>
        <v>8.2835022941030404E-3</v>
      </c>
      <c r="AI54" s="2">
        <f>P16</f>
        <v>9.3292252864021E-3</v>
      </c>
      <c r="AK54" t="s">
        <v>342</v>
      </c>
      <c r="AL54">
        <v>1991</v>
      </c>
      <c r="AM54" t="s">
        <v>5</v>
      </c>
      <c r="AN54">
        <v>0.13638</v>
      </c>
      <c r="AQ54" s="3">
        <v>1991</v>
      </c>
      <c r="AR54" s="2">
        <v>0.13638</v>
      </c>
      <c r="AS54" s="2">
        <v>0.13538333333333299</v>
      </c>
      <c r="AU54" t="s">
        <v>310</v>
      </c>
      <c r="AV54">
        <v>1991</v>
      </c>
      <c r="AW54" t="s">
        <v>5</v>
      </c>
      <c r="AX54">
        <v>7.1848451618667401E-3</v>
      </c>
      <c r="AZ54" s="3">
        <v>1991</v>
      </c>
      <c r="BA54">
        <v>6.5201226982319919E-3</v>
      </c>
      <c r="BB54">
        <v>4.5816943456458365E-3</v>
      </c>
      <c r="BD54" t="s">
        <v>310</v>
      </c>
      <c r="BE54">
        <v>1991</v>
      </c>
      <c r="BF54" t="s">
        <v>5</v>
      </c>
      <c r="BG54">
        <v>0.13638</v>
      </c>
      <c r="BH54">
        <v>7.1848451618667401E-3</v>
      </c>
      <c r="BJ54" s="3">
        <v>1991</v>
      </c>
      <c r="BK54" s="20">
        <v>0.14518</v>
      </c>
      <c r="BL54" s="20">
        <v>0.14117692307692301</v>
      </c>
    </row>
    <row r="55" spans="1:64">
      <c r="A55">
        <v>1984</v>
      </c>
      <c r="B55" t="s">
        <v>310</v>
      </c>
      <c r="C55" t="s">
        <v>31</v>
      </c>
      <c r="D55" s="2">
        <v>0.16800000000000001</v>
      </c>
      <c r="E55">
        <v>0.16800000000000001</v>
      </c>
      <c r="F55">
        <v>0.16800000000000001</v>
      </c>
      <c r="G55" s="2">
        <f t="shared" si="0"/>
        <v>0.504</v>
      </c>
      <c r="AE55" s="1" t="s">
        <v>298</v>
      </c>
      <c r="AF55">
        <v>1990</v>
      </c>
      <c r="AG55" s="2">
        <f>Q4</f>
        <v>4.0729722027166553E-3</v>
      </c>
      <c r="AH55" s="2">
        <f>Q10</f>
        <v>6.1523559322005702E-3</v>
      </c>
      <c r="AI55" s="2">
        <f>Q16</f>
        <v>4.8055838733328101E-3</v>
      </c>
      <c r="AK55" t="s">
        <v>342</v>
      </c>
      <c r="AL55">
        <v>1991</v>
      </c>
      <c r="AM55" t="s">
        <v>7</v>
      </c>
      <c r="AN55">
        <v>0.14018</v>
      </c>
      <c r="AU55" t="s">
        <v>310</v>
      </c>
      <c r="AV55">
        <v>1991</v>
      </c>
      <c r="AW55" t="s">
        <v>7</v>
      </c>
      <c r="AX55">
        <v>9.9101967689849604E-3</v>
      </c>
      <c r="BD55" t="s">
        <v>310</v>
      </c>
      <c r="BE55">
        <v>1991</v>
      </c>
      <c r="BF55" t="s">
        <v>7</v>
      </c>
      <c r="BG55">
        <v>0.14018</v>
      </c>
      <c r="BH55">
        <v>9.9101967689849604E-3</v>
      </c>
    </row>
    <row r="56" spans="1:64">
      <c r="A56">
        <v>1984</v>
      </c>
      <c r="B56" t="s">
        <v>310</v>
      </c>
      <c r="C56" t="s">
        <v>230</v>
      </c>
      <c r="D56" s="2">
        <v>0.14000000000000001</v>
      </c>
      <c r="E56">
        <v>0.11899999999999999</v>
      </c>
      <c r="F56">
        <v>0.12</v>
      </c>
      <c r="G56" s="2">
        <f t="shared" si="0"/>
        <v>0.379</v>
      </c>
      <c r="AE56" s="1" t="s">
        <v>298</v>
      </c>
      <c r="AF56">
        <v>1991</v>
      </c>
      <c r="AG56" s="2">
        <f>R4</f>
        <v>4.5816943456458365E-3</v>
      </c>
      <c r="AH56" s="2">
        <f>R10</f>
        <v>5.8576807904173302E-3</v>
      </c>
      <c r="AI56" s="2">
        <f>R16</f>
        <v>6.5029363996722102E-3</v>
      </c>
    </row>
    <row r="57" spans="1:64">
      <c r="A57">
        <v>1984</v>
      </c>
      <c r="B57" t="s">
        <v>310</v>
      </c>
      <c r="C57" t="s">
        <v>28</v>
      </c>
      <c r="D57" s="2" t="s">
        <v>345</v>
      </c>
      <c r="E57">
        <v>0.125</v>
      </c>
      <c r="F57">
        <v>0.123</v>
      </c>
      <c r="G57" s="2">
        <f t="shared" si="0"/>
        <v>0.248</v>
      </c>
      <c r="AE57" s="1" t="s">
        <v>310</v>
      </c>
      <c r="AF57">
        <v>1983</v>
      </c>
      <c r="AG57" s="2">
        <f>J5</f>
        <v>1.4261220532170093E-2</v>
      </c>
      <c r="AH57" s="2">
        <f>J11</f>
        <v>1.6403651016364099E-2</v>
      </c>
      <c r="AI57" s="2">
        <f>J17</f>
        <v>1.6615045390649001E-2</v>
      </c>
    </row>
    <row r="58" spans="1:64">
      <c r="A58">
        <v>1984</v>
      </c>
      <c r="B58" t="s">
        <v>310</v>
      </c>
      <c r="C58" t="s">
        <v>28</v>
      </c>
      <c r="D58" s="2">
        <v>0.1295</v>
      </c>
      <c r="E58">
        <v>0.123</v>
      </c>
      <c r="F58">
        <v>0.123</v>
      </c>
      <c r="G58" s="2">
        <f t="shared" si="0"/>
        <v>0.3755</v>
      </c>
      <c r="AE58" s="1" t="s">
        <v>310</v>
      </c>
      <c r="AF58">
        <v>1984</v>
      </c>
      <c r="AG58" s="2">
        <f>K5</f>
        <v>1.3741888595258633E-2</v>
      </c>
      <c r="AH58" s="2">
        <f>K11</f>
        <v>1.46985922926182E-2</v>
      </c>
      <c r="AI58" s="2">
        <f>K17</f>
        <v>1.5301560922555101E-2</v>
      </c>
      <c r="BJ58" t="s">
        <v>340</v>
      </c>
      <c r="BK58" s="21">
        <f>AVERAGE(BK46:BK54)</f>
        <v>0.13397309330173179</v>
      </c>
      <c r="BL58" s="21">
        <f>AVERAGE(BL46:BL54)</f>
        <v>0.14210940170940167</v>
      </c>
    </row>
    <row r="59" spans="1:64">
      <c r="A59">
        <v>1984</v>
      </c>
      <c r="B59" t="s">
        <v>310</v>
      </c>
      <c r="C59" t="s">
        <v>230</v>
      </c>
      <c r="D59" s="2" t="s">
        <v>345</v>
      </c>
      <c r="E59">
        <v>0.11700000000000001</v>
      </c>
      <c r="F59">
        <v>0.1168</v>
      </c>
      <c r="G59" s="2">
        <f t="shared" si="0"/>
        <v>0.23380000000000001</v>
      </c>
      <c r="AE59" s="1" t="s">
        <v>310</v>
      </c>
      <c r="AF59">
        <v>1985</v>
      </c>
      <c r="AG59" s="2">
        <f>L5</f>
        <v>1.3218099479356015E-2</v>
      </c>
      <c r="AH59" s="2">
        <f>L11</f>
        <v>1.4522454161636901E-2</v>
      </c>
      <c r="AI59" s="2">
        <f>L17</f>
        <v>1.5755870242228801E-2</v>
      </c>
    </row>
    <row r="60" spans="1:64">
      <c r="A60">
        <v>1984</v>
      </c>
      <c r="B60" t="s">
        <v>310</v>
      </c>
      <c r="C60" t="s">
        <v>100</v>
      </c>
      <c r="D60" s="2">
        <v>0.125</v>
      </c>
      <c r="E60">
        <v>0.11749999999999999</v>
      </c>
      <c r="F60">
        <v>0.11799999999999999</v>
      </c>
      <c r="G60" s="2">
        <f t="shared" si="0"/>
        <v>0.36049999999999999</v>
      </c>
      <c r="AE60" s="1" t="s">
        <v>310</v>
      </c>
      <c r="AF60">
        <v>1986</v>
      </c>
      <c r="AG60" s="2">
        <f>M5</f>
        <v>1.0986653404485965E-2</v>
      </c>
      <c r="AH60" s="2">
        <f>M11</f>
        <v>1.18064007421758E-2</v>
      </c>
      <c r="AI60" s="2">
        <f>M17</f>
        <v>1.27935676936324E-2</v>
      </c>
    </row>
    <row r="61" spans="1:64">
      <c r="A61">
        <v>1984</v>
      </c>
      <c r="B61" t="s">
        <v>310</v>
      </c>
      <c r="C61" t="s">
        <v>227</v>
      </c>
      <c r="D61" s="2" t="s">
        <v>345</v>
      </c>
      <c r="E61">
        <v>0.1195</v>
      </c>
      <c r="F61">
        <v>0.1265</v>
      </c>
      <c r="G61" s="2">
        <f t="shared" si="0"/>
        <v>0.246</v>
      </c>
      <c r="AE61" s="1" t="s">
        <v>310</v>
      </c>
      <c r="AF61">
        <v>1987</v>
      </c>
      <c r="AG61" s="2">
        <f>N5</f>
        <v>1.0260775598024543E-2</v>
      </c>
      <c r="AH61" s="2">
        <f>N11</f>
        <v>1.23510030892606E-2</v>
      </c>
      <c r="AI61" s="2">
        <f>N17</f>
        <v>1.2805069370655699E-2</v>
      </c>
    </row>
    <row r="62" spans="1:64">
      <c r="A62">
        <v>1984</v>
      </c>
      <c r="B62" t="s">
        <v>310</v>
      </c>
      <c r="C62" t="s">
        <v>31</v>
      </c>
      <c r="D62" s="2">
        <v>0.16800000000000001</v>
      </c>
      <c r="E62">
        <v>0.16800000000000001</v>
      </c>
      <c r="F62">
        <v>0.16800000000000001</v>
      </c>
      <c r="G62" s="2">
        <f t="shared" si="0"/>
        <v>0.504</v>
      </c>
      <c r="AE62" s="1" t="s">
        <v>310</v>
      </c>
      <c r="AF62">
        <v>1988</v>
      </c>
      <c r="AG62" s="2">
        <f>O5</f>
        <v>1.1354490056556678E-2</v>
      </c>
      <c r="AH62" s="2">
        <f>O11</f>
        <v>1.28552150748964E-2</v>
      </c>
      <c r="AI62" s="2">
        <f>O17</f>
        <v>1.35999883286594E-2</v>
      </c>
    </row>
    <row r="63" spans="1:64">
      <c r="A63">
        <v>1984</v>
      </c>
      <c r="B63" t="s">
        <v>310</v>
      </c>
      <c r="C63" t="s">
        <v>55</v>
      </c>
      <c r="D63" s="2">
        <v>0.1265</v>
      </c>
      <c r="E63">
        <v>0.125</v>
      </c>
      <c r="F63">
        <v>0.1225</v>
      </c>
      <c r="G63" s="2">
        <f t="shared" si="0"/>
        <v>0.374</v>
      </c>
      <c r="AE63" s="1" t="s">
        <v>310</v>
      </c>
      <c r="AF63">
        <v>1989</v>
      </c>
      <c r="AG63" s="2">
        <f>P5</f>
        <v>7.5165800612993685E-3</v>
      </c>
      <c r="AH63" s="2">
        <f>P11</f>
        <v>6.5595126609532799E-3</v>
      </c>
      <c r="AI63" s="2">
        <f>P17</f>
        <v>7.7020560025662403E-3</v>
      </c>
    </row>
    <row r="64" spans="1:64">
      <c r="A64">
        <v>1984</v>
      </c>
      <c r="B64" t="s">
        <v>310</v>
      </c>
      <c r="C64" t="s">
        <v>28</v>
      </c>
      <c r="D64" s="2">
        <v>0.12</v>
      </c>
      <c r="E64">
        <v>0.111</v>
      </c>
      <c r="F64">
        <v>0.11</v>
      </c>
      <c r="G64" s="2">
        <f t="shared" si="0"/>
        <v>0.34100000000000003</v>
      </c>
      <c r="AE64" s="1" t="s">
        <v>310</v>
      </c>
      <c r="AF64">
        <v>1990</v>
      </c>
      <c r="AG64" s="2">
        <f>Q5</f>
        <v>7.9465937949020956E-3</v>
      </c>
      <c r="AH64" s="2">
        <f>Q11</f>
        <v>9.5452412759470303E-3</v>
      </c>
      <c r="AI64" s="2">
        <f>Q17</f>
        <v>9.9329780544559296E-3</v>
      </c>
    </row>
    <row r="65" spans="1:35">
      <c r="A65">
        <v>1984</v>
      </c>
      <c r="B65" t="s">
        <v>310</v>
      </c>
      <c r="C65" t="s">
        <v>28</v>
      </c>
      <c r="D65" s="2">
        <v>0.12</v>
      </c>
      <c r="E65">
        <v>0.111</v>
      </c>
      <c r="F65">
        <v>0.11</v>
      </c>
      <c r="G65" s="2">
        <f t="shared" si="0"/>
        <v>0.34100000000000003</v>
      </c>
      <c r="AE65" s="1" t="s">
        <v>310</v>
      </c>
      <c r="AF65">
        <v>1991</v>
      </c>
      <c r="AG65" s="2">
        <f>R5</f>
        <v>6.5201226982319919E-3</v>
      </c>
      <c r="AH65" s="2">
        <f>R11</f>
        <v>7.1848451618667401E-3</v>
      </c>
      <c r="AI65" s="2">
        <f>R17</f>
        <v>9.9101967689849604E-3</v>
      </c>
    </row>
    <row r="66" spans="1:35">
      <c r="A66">
        <v>1984</v>
      </c>
      <c r="B66" t="s">
        <v>310</v>
      </c>
      <c r="C66" t="s">
        <v>55</v>
      </c>
      <c r="D66" s="2" t="s">
        <v>16</v>
      </c>
      <c r="E66">
        <v>0.11</v>
      </c>
      <c r="F66" t="s">
        <v>16</v>
      </c>
      <c r="G66" s="2">
        <f t="shared" si="0"/>
        <v>0.11</v>
      </c>
    </row>
    <row r="67" spans="1:35">
      <c r="A67">
        <v>1984</v>
      </c>
      <c r="B67" t="s">
        <v>310</v>
      </c>
      <c r="C67" t="s">
        <v>31</v>
      </c>
      <c r="D67" s="2">
        <v>0.13450000000000001</v>
      </c>
      <c r="E67">
        <v>0.13450000000000001</v>
      </c>
      <c r="F67">
        <v>0.13450000000000001</v>
      </c>
      <c r="G67" s="2">
        <f t="shared" ref="G67:G130" si="1">SUM(D67:F67)</f>
        <v>0.40350000000000003</v>
      </c>
    </row>
    <row r="68" spans="1:35">
      <c r="A68">
        <v>1984</v>
      </c>
      <c r="B68" t="s">
        <v>310</v>
      </c>
      <c r="C68" t="s">
        <v>132</v>
      </c>
      <c r="D68" s="2" t="s">
        <v>345</v>
      </c>
      <c r="E68">
        <v>0.1132</v>
      </c>
      <c r="F68">
        <v>0.1132</v>
      </c>
      <c r="G68" s="2">
        <f t="shared" si="1"/>
        <v>0.22639999999999999</v>
      </c>
    </row>
    <row r="69" spans="1:35">
      <c r="A69">
        <v>1984</v>
      </c>
      <c r="B69" t="s">
        <v>298</v>
      </c>
      <c r="C69" t="s">
        <v>18</v>
      </c>
      <c r="D69" s="2">
        <v>0.13250000000000001</v>
      </c>
      <c r="E69">
        <v>0.1225</v>
      </c>
      <c r="F69" t="s">
        <v>16</v>
      </c>
      <c r="G69" s="2">
        <f t="shared" si="1"/>
        <v>0.255</v>
      </c>
    </row>
    <row r="70" spans="1:35">
      <c r="A70">
        <v>1984</v>
      </c>
      <c r="B70" t="s">
        <v>298</v>
      </c>
      <c r="C70" t="s">
        <v>18</v>
      </c>
      <c r="D70" s="2">
        <v>0.14249999999999999</v>
      </c>
      <c r="E70">
        <v>0.13250000000000001</v>
      </c>
      <c r="F70" t="s">
        <v>16</v>
      </c>
      <c r="G70" s="2">
        <f t="shared" si="1"/>
        <v>0.27500000000000002</v>
      </c>
    </row>
    <row r="71" spans="1:35">
      <c r="A71">
        <v>1984</v>
      </c>
      <c r="B71" t="s">
        <v>298</v>
      </c>
      <c r="C71" t="s">
        <v>15</v>
      </c>
      <c r="D71" s="2">
        <v>0.13900000000000001</v>
      </c>
      <c r="E71">
        <v>0.13900000000000001</v>
      </c>
      <c r="F71">
        <v>0.13900000000000001</v>
      </c>
      <c r="G71" s="2">
        <f t="shared" si="1"/>
        <v>0.41699999999999998</v>
      </c>
    </row>
    <row r="72" spans="1:35">
      <c r="A72">
        <v>1984</v>
      </c>
      <c r="B72" t="s">
        <v>298</v>
      </c>
      <c r="C72" t="s">
        <v>18</v>
      </c>
      <c r="D72" s="2">
        <v>0.13950000000000001</v>
      </c>
      <c r="E72">
        <v>0.13950000000000001</v>
      </c>
      <c r="F72">
        <v>0.125</v>
      </c>
      <c r="G72" s="2">
        <f t="shared" si="1"/>
        <v>0.40400000000000003</v>
      </c>
    </row>
    <row r="73" spans="1:35">
      <c r="A73">
        <v>1984</v>
      </c>
      <c r="B73" t="s">
        <v>298</v>
      </c>
      <c r="C73" t="s">
        <v>18</v>
      </c>
      <c r="D73" s="2" t="s">
        <v>345</v>
      </c>
      <c r="E73">
        <v>0.12889999999999999</v>
      </c>
      <c r="F73">
        <v>0.12889999999999999</v>
      </c>
      <c r="G73" s="2">
        <f t="shared" si="1"/>
        <v>0.25779999999999997</v>
      </c>
    </row>
    <row r="74" spans="1:35">
      <c r="A74">
        <v>1984</v>
      </c>
      <c r="B74" t="s">
        <v>298</v>
      </c>
      <c r="C74" t="s">
        <v>18</v>
      </c>
      <c r="D74" s="2">
        <v>0.13900000000000001</v>
      </c>
      <c r="E74">
        <v>0.13900000000000001</v>
      </c>
      <c r="F74" t="s">
        <v>16</v>
      </c>
      <c r="G74" s="2">
        <f t="shared" si="1"/>
        <v>0.27800000000000002</v>
      </c>
    </row>
    <row r="75" spans="1:35">
      <c r="A75">
        <v>1984</v>
      </c>
      <c r="B75" t="s">
        <v>298</v>
      </c>
      <c r="C75" t="s">
        <v>15</v>
      </c>
      <c r="D75" s="2">
        <v>0.13100000000000001</v>
      </c>
      <c r="E75">
        <v>0.13100000000000001</v>
      </c>
      <c r="F75">
        <v>0.13100000000000001</v>
      </c>
      <c r="G75" s="2">
        <f t="shared" si="1"/>
        <v>0.39300000000000002</v>
      </c>
    </row>
    <row r="76" spans="1:35">
      <c r="A76">
        <v>1984</v>
      </c>
      <c r="B76" t="s">
        <v>298</v>
      </c>
      <c r="C76" t="s">
        <v>15</v>
      </c>
      <c r="D76" s="2" t="s">
        <v>345</v>
      </c>
      <c r="E76">
        <v>0.13200000000000001</v>
      </c>
      <c r="F76" t="s">
        <v>16</v>
      </c>
      <c r="G76" s="2">
        <f t="shared" si="1"/>
        <v>0.13200000000000001</v>
      </c>
    </row>
    <row r="77" spans="1:35">
      <c r="A77">
        <v>1984</v>
      </c>
      <c r="B77" t="s">
        <v>298</v>
      </c>
      <c r="C77" t="s">
        <v>18</v>
      </c>
      <c r="D77" s="2">
        <v>0.13800000000000001</v>
      </c>
      <c r="E77">
        <v>0.128</v>
      </c>
      <c r="F77">
        <v>0.13800000000000001</v>
      </c>
      <c r="G77" s="2">
        <f t="shared" si="1"/>
        <v>0.40400000000000003</v>
      </c>
    </row>
    <row r="78" spans="1:35">
      <c r="A78">
        <v>1984</v>
      </c>
      <c r="B78" t="s">
        <v>298</v>
      </c>
      <c r="C78" t="s">
        <v>15</v>
      </c>
      <c r="D78" s="2">
        <v>0.1462</v>
      </c>
      <c r="E78">
        <v>0.1462</v>
      </c>
      <c r="F78">
        <v>0.1462</v>
      </c>
      <c r="G78" s="2">
        <f t="shared" si="1"/>
        <v>0.43859999999999999</v>
      </c>
    </row>
    <row r="79" spans="1:35">
      <c r="A79">
        <v>1984</v>
      </c>
      <c r="B79" t="s">
        <v>298</v>
      </c>
      <c r="C79" t="s">
        <v>15</v>
      </c>
      <c r="D79" s="2" t="s">
        <v>345</v>
      </c>
      <c r="E79">
        <v>0.13550000000000001</v>
      </c>
      <c r="F79" t="s">
        <v>16</v>
      </c>
      <c r="G79" s="2">
        <f t="shared" si="1"/>
        <v>0.13550000000000001</v>
      </c>
    </row>
    <row r="80" spans="1:35">
      <c r="A80">
        <v>1984</v>
      </c>
      <c r="B80" t="s">
        <v>298</v>
      </c>
      <c r="C80" t="s">
        <v>18</v>
      </c>
      <c r="D80" s="2">
        <v>0.14199999999999999</v>
      </c>
      <c r="E80">
        <v>0.13200000000000001</v>
      </c>
      <c r="F80" t="s">
        <v>16</v>
      </c>
      <c r="G80" s="2">
        <f t="shared" si="1"/>
        <v>0.27400000000000002</v>
      </c>
    </row>
    <row r="81" spans="1:22">
      <c r="A81">
        <v>1985</v>
      </c>
      <c r="B81" t="s">
        <v>310</v>
      </c>
      <c r="C81" t="s">
        <v>28</v>
      </c>
      <c r="D81" s="2">
        <v>0.125</v>
      </c>
      <c r="E81">
        <v>0.125</v>
      </c>
      <c r="F81">
        <v>0.125</v>
      </c>
      <c r="G81" s="2">
        <f t="shared" si="1"/>
        <v>0.375</v>
      </c>
    </row>
    <row r="82" spans="1:22">
      <c r="A82">
        <v>1985</v>
      </c>
      <c r="B82" t="s">
        <v>310</v>
      </c>
      <c r="C82" t="s">
        <v>25</v>
      </c>
      <c r="D82" s="2">
        <v>0.129</v>
      </c>
      <c r="E82">
        <v>0.11899999999999999</v>
      </c>
      <c r="F82">
        <v>0.124</v>
      </c>
      <c r="G82" s="2">
        <f t="shared" si="1"/>
        <v>0.372</v>
      </c>
      <c r="V82" s="3"/>
    </row>
    <row r="83" spans="1:22">
      <c r="A83">
        <v>1985</v>
      </c>
      <c r="B83" t="s">
        <v>310</v>
      </c>
      <c r="C83" t="s">
        <v>73</v>
      </c>
      <c r="D83" s="2">
        <v>0.129</v>
      </c>
      <c r="E83">
        <v>0.125</v>
      </c>
      <c r="F83">
        <v>0.13800000000000001</v>
      </c>
      <c r="G83" s="2">
        <f t="shared" si="1"/>
        <v>0.39200000000000002</v>
      </c>
      <c r="V83" s="3"/>
    </row>
    <row r="84" spans="1:22">
      <c r="A84">
        <v>1985</v>
      </c>
      <c r="B84" t="s">
        <v>310</v>
      </c>
      <c r="C84" t="s">
        <v>25</v>
      </c>
      <c r="D84" s="2">
        <v>0.129</v>
      </c>
      <c r="E84">
        <v>0.122</v>
      </c>
      <c r="F84">
        <v>0.126</v>
      </c>
      <c r="G84" s="2">
        <f t="shared" si="1"/>
        <v>0.377</v>
      </c>
      <c r="V84" s="3"/>
    </row>
    <row r="85" spans="1:22">
      <c r="A85">
        <v>1985</v>
      </c>
      <c r="B85" t="s">
        <v>310</v>
      </c>
      <c r="C85" t="s">
        <v>18</v>
      </c>
      <c r="D85" s="2" t="s">
        <v>345</v>
      </c>
      <c r="E85">
        <v>0.1079</v>
      </c>
      <c r="F85">
        <v>0.1079</v>
      </c>
      <c r="G85" s="2">
        <f t="shared" si="1"/>
        <v>0.21579999999999999</v>
      </c>
      <c r="V85" s="3"/>
    </row>
    <row r="86" spans="1:22">
      <c r="A86">
        <v>1985</v>
      </c>
      <c r="B86" t="s">
        <v>310</v>
      </c>
      <c r="C86" t="s">
        <v>25</v>
      </c>
      <c r="D86" s="2">
        <v>0.13100000000000001</v>
      </c>
      <c r="E86">
        <v>0.121</v>
      </c>
      <c r="F86" t="s">
        <v>16</v>
      </c>
      <c r="G86" s="2">
        <f t="shared" si="1"/>
        <v>0.252</v>
      </c>
      <c r="V86" s="3"/>
    </row>
    <row r="87" spans="1:22">
      <c r="A87">
        <v>1985</v>
      </c>
      <c r="B87" t="s">
        <v>310</v>
      </c>
      <c r="C87" t="s">
        <v>15</v>
      </c>
      <c r="D87" s="2">
        <v>0.1225</v>
      </c>
      <c r="E87">
        <v>0.113</v>
      </c>
      <c r="F87">
        <v>0.1099</v>
      </c>
      <c r="G87" s="2">
        <f t="shared" si="1"/>
        <v>0.34539999999999998</v>
      </c>
      <c r="V87" s="3"/>
    </row>
    <row r="88" spans="1:22">
      <c r="A88">
        <v>1985</v>
      </c>
      <c r="B88" t="s">
        <v>310</v>
      </c>
      <c r="C88" t="s">
        <v>28</v>
      </c>
      <c r="D88" s="2">
        <v>0.1225</v>
      </c>
      <c r="E88" t="s">
        <v>16</v>
      </c>
      <c r="F88">
        <v>0.12</v>
      </c>
      <c r="G88" s="2">
        <f t="shared" si="1"/>
        <v>0.24249999999999999</v>
      </c>
      <c r="V88" s="3"/>
    </row>
    <row r="89" spans="1:22">
      <c r="A89">
        <v>1985</v>
      </c>
      <c r="B89" t="s">
        <v>310</v>
      </c>
      <c r="C89" t="s">
        <v>18</v>
      </c>
      <c r="D89" s="2">
        <v>0.123</v>
      </c>
      <c r="E89">
        <v>0.113</v>
      </c>
      <c r="F89">
        <v>0.112</v>
      </c>
      <c r="G89" s="2">
        <f t="shared" si="1"/>
        <v>0.34799999999999998</v>
      </c>
      <c r="V89" s="3"/>
    </row>
    <row r="90" spans="1:22">
      <c r="A90">
        <v>1985</v>
      </c>
      <c r="B90" t="s">
        <v>310</v>
      </c>
      <c r="C90" t="s">
        <v>15</v>
      </c>
      <c r="D90" s="2">
        <v>0.125</v>
      </c>
      <c r="E90">
        <v>0.1145</v>
      </c>
      <c r="F90">
        <v>0.114</v>
      </c>
      <c r="G90" s="2">
        <f t="shared" si="1"/>
        <v>0.35349999999999998</v>
      </c>
      <c r="V90" s="3"/>
    </row>
    <row r="91" spans="1:22">
      <c r="A91">
        <v>1985</v>
      </c>
      <c r="B91" t="s">
        <v>310</v>
      </c>
      <c r="C91" t="s">
        <v>25</v>
      </c>
      <c r="D91" s="2">
        <v>0.1275</v>
      </c>
      <c r="E91">
        <v>0.125</v>
      </c>
      <c r="F91">
        <v>0.125</v>
      </c>
      <c r="G91" s="2">
        <f t="shared" si="1"/>
        <v>0.3775</v>
      </c>
    </row>
    <row r="92" spans="1:22">
      <c r="A92">
        <v>1985</v>
      </c>
      <c r="B92" t="s">
        <v>310</v>
      </c>
      <c r="C92" t="s">
        <v>25</v>
      </c>
      <c r="D92" s="2">
        <v>0.13</v>
      </c>
      <c r="E92" t="s">
        <v>16</v>
      </c>
      <c r="F92" t="s">
        <v>16</v>
      </c>
      <c r="G92" s="2">
        <f t="shared" si="1"/>
        <v>0.13</v>
      </c>
    </row>
    <row r="93" spans="1:22">
      <c r="A93">
        <v>1985</v>
      </c>
      <c r="B93" t="s">
        <v>310</v>
      </c>
      <c r="C93" t="s">
        <v>15</v>
      </c>
      <c r="D93" s="2">
        <v>0.128</v>
      </c>
      <c r="E93">
        <v>0.125</v>
      </c>
      <c r="F93">
        <v>0.13150000000000001</v>
      </c>
      <c r="G93" s="2">
        <f t="shared" si="1"/>
        <v>0.38450000000000001</v>
      </c>
    </row>
    <row r="94" spans="1:22">
      <c r="A94">
        <v>1985</v>
      </c>
      <c r="B94" t="s">
        <v>310</v>
      </c>
      <c r="C94" t="s">
        <v>18</v>
      </c>
      <c r="D94" s="2">
        <v>0.12</v>
      </c>
      <c r="E94">
        <v>0.111</v>
      </c>
      <c r="F94">
        <v>0.109</v>
      </c>
      <c r="G94" s="2">
        <f t="shared" si="1"/>
        <v>0.34</v>
      </c>
    </row>
    <row r="95" spans="1:22">
      <c r="A95">
        <v>1985</v>
      </c>
      <c r="B95" t="s">
        <v>310</v>
      </c>
      <c r="C95" t="s">
        <v>28</v>
      </c>
      <c r="D95" s="2">
        <v>0.12</v>
      </c>
      <c r="E95">
        <v>0.11</v>
      </c>
      <c r="F95">
        <v>0.1085</v>
      </c>
      <c r="G95" s="2">
        <f t="shared" si="1"/>
        <v>0.33850000000000002</v>
      </c>
    </row>
    <row r="96" spans="1:22">
      <c r="A96">
        <v>1985</v>
      </c>
      <c r="B96" t="s">
        <v>310</v>
      </c>
      <c r="C96" t="s">
        <v>43</v>
      </c>
      <c r="D96" s="2">
        <v>0.1275</v>
      </c>
      <c r="E96">
        <v>0.11799999999999999</v>
      </c>
      <c r="F96">
        <v>0.123</v>
      </c>
      <c r="G96" s="2">
        <f t="shared" si="1"/>
        <v>0.36849999999999999</v>
      </c>
    </row>
    <row r="97" spans="1:7">
      <c r="A97">
        <v>1985</v>
      </c>
      <c r="B97" t="s">
        <v>310</v>
      </c>
      <c r="C97" t="s">
        <v>28</v>
      </c>
      <c r="D97" s="2">
        <v>0.12</v>
      </c>
      <c r="E97">
        <v>0.111</v>
      </c>
      <c r="F97">
        <v>0.109</v>
      </c>
      <c r="G97" s="2">
        <f t="shared" si="1"/>
        <v>0.34</v>
      </c>
    </row>
    <row r="98" spans="1:7">
      <c r="A98">
        <v>1985</v>
      </c>
      <c r="B98" t="s">
        <v>310</v>
      </c>
      <c r="C98" t="s">
        <v>100</v>
      </c>
      <c r="D98" s="2">
        <v>0.1125</v>
      </c>
      <c r="E98">
        <v>0.105</v>
      </c>
      <c r="F98">
        <v>0.10299999999999999</v>
      </c>
      <c r="G98" s="2">
        <f t="shared" si="1"/>
        <v>0.32050000000000001</v>
      </c>
    </row>
    <row r="99" spans="1:7">
      <c r="A99">
        <v>1985</v>
      </c>
      <c r="B99" t="s">
        <v>310</v>
      </c>
      <c r="C99" t="s">
        <v>28</v>
      </c>
      <c r="D99" s="2">
        <v>0.10879999999999999</v>
      </c>
      <c r="E99" t="s">
        <v>16</v>
      </c>
      <c r="F99">
        <v>0.1056</v>
      </c>
      <c r="G99" s="2">
        <f t="shared" si="1"/>
        <v>0.21440000000000001</v>
      </c>
    </row>
    <row r="100" spans="1:7">
      <c r="A100">
        <v>1985</v>
      </c>
      <c r="B100" t="s">
        <v>310</v>
      </c>
      <c r="C100" t="s">
        <v>31</v>
      </c>
      <c r="D100" s="2">
        <v>0.16800000000000001</v>
      </c>
      <c r="E100">
        <v>0.16800000000000001</v>
      </c>
      <c r="F100">
        <v>0.16800000000000001</v>
      </c>
      <c r="G100" s="2">
        <f t="shared" si="1"/>
        <v>0.504</v>
      </c>
    </row>
    <row r="101" spans="1:7">
      <c r="A101">
        <v>1985</v>
      </c>
      <c r="B101" t="s">
        <v>310</v>
      </c>
      <c r="C101" t="s">
        <v>28</v>
      </c>
      <c r="D101" s="2" t="s">
        <v>345</v>
      </c>
      <c r="E101">
        <v>0.12</v>
      </c>
      <c r="F101">
        <v>0.11749999999999999</v>
      </c>
      <c r="G101" s="2">
        <f t="shared" si="1"/>
        <v>0.23749999999999999</v>
      </c>
    </row>
    <row r="102" spans="1:7">
      <c r="A102">
        <v>1985</v>
      </c>
      <c r="B102" t="s">
        <v>310</v>
      </c>
      <c r="C102" t="s">
        <v>55</v>
      </c>
      <c r="D102" s="2">
        <v>0.125</v>
      </c>
      <c r="E102">
        <v>0.115</v>
      </c>
      <c r="F102" t="s">
        <v>16</v>
      </c>
      <c r="G102" s="2">
        <f t="shared" si="1"/>
        <v>0.24</v>
      </c>
    </row>
    <row r="103" spans="1:7">
      <c r="A103">
        <v>1985</v>
      </c>
      <c r="B103" t="s">
        <v>310</v>
      </c>
      <c r="C103" t="s">
        <v>243</v>
      </c>
      <c r="D103" s="2" t="s">
        <v>345</v>
      </c>
      <c r="E103">
        <v>0.1153</v>
      </c>
      <c r="F103">
        <v>0.1153</v>
      </c>
      <c r="G103" s="2">
        <f t="shared" si="1"/>
        <v>0.2306</v>
      </c>
    </row>
    <row r="104" spans="1:7">
      <c r="A104">
        <v>1985</v>
      </c>
      <c r="B104" t="s">
        <v>310</v>
      </c>
      <c r="C104" t="s">
        <v>31</v>
      </c>
      <c r="D104" s="2">
        <v>0.16800000000000001</v>
      </c>
      <c r="E104">
        <v>0.16800000000000001</v>
      </c>
      <c r="F104">
        <v>0.16800000000000001</v>
      </c>
      <c r="G104" s="2">
        <f t="shared" si="1"/>
        <v>0.504</v>
      </c>
    </row>
    <row r="105" spans="1:7">
      <c r="A105">
        <v>1985</v>
      </c>
      <c r="B105" t="s">
        <v>310</v>
      </c>
      <c r="C105" t="s">
        <v>28</v>
      </c>
      <c r="D105" s="2">
        <v>0.125</v>
      </c>
      <c r="E105">
        <v>0.11749999999999999</v>
      </c>
      <c r="F105">
        <v>0.115</v>
      </c>
      <c r="G105" s="2">
        <f t="shared" si="1"/>
        <v>0.35749999999999998</v>
      </c>
    </row>
    <row r="106" spans="1:7">
      <c r="A106">
        <v>1985</v>
      </c>
      <c r="B106" t="s">
        <v>310</v>
      </c>
      <c r="C106" t="s">
        <v>28</v>
      </c>
      <c r="D106" s="2">
        <v>0.125</v>
      </c>
      <c r="E106">
        <v>0.12</v>
      </c>
      <c r="F106">
        <v>0.11899999999999999</v>
      </c>
      <c r="G106" s="2">
        <f t="shared" si="1"/>
        <v>0.36399999999999999</v>
      </c>
    </row>
    <row r="107" spans="1:7">
      <c r="A107">
        <v>1985</v>
      </c>
      <c r="B107" t="s">
        <v>310</v>
      </c>
      <c r="C107" t="s">
        <v>28</v>
      </c>
      <c r="D107" s="2">
        <v>0.12</v>
      </c>
      <c r="E107">
        <v>0.111</v>
      </c>
      <c r="F107">
        <v>0.108</v>
      </c>
      <c r="G107" s="2">
        <f t="shared" si="1"/>
        <v>0.33900000000000002</v>
      </c>
    </row>
    <row r="108" spans="1:7">
      <c r="A108">
        <v>1985</v>
      </c>
      <c r="B108" t="s">
        <v>310</v>
      </c>
      <c r="C108" t="s">
        <v>55</v>
      </c>
      <c r="D108" s="2" t="s">
        <v>345</v>
      </c>
      <c r="E108">
        <v>0.107</v>
      </c>
      <c r="F108" t="s">
        <v>16</v>
      </c>
      <c r="G108" s="2">
        <f t="shared" si="1"/>
        <v>0.107</v>
      </c>
    </row>
    <row r="109" spans="1:7">
      <c r="A109">
        <v>1985</v>
      </c>
      <c r="B109" t="s">
        <v>310</v>
      </c>
      <c r="C109" t="s">
        <v>18</v>
      </c>
      <c r="D109" s="2" t="s">
        <v>345</v>
      </c>
      <c r="E109">
        <v>0.11899999999999999</v>
      </c>
      <c r="F109">
        <v>0.121</v>
      </c>
      <c r="G109" s="2">
        <f t="shared" si="1"/>
        <v>0.24</v>
      </c>
    </row>
    <row r="110" spans="1:7">
      <c r="A110">
        <v>1985</v>
      </c>
      <c r="B110" t="s">
        <v>310</v>
      </c>
      <c r="C110" t="s">
        <v>230</v>
      </c>
      <c r="D110" s="2">
        <v>0.14000000000000001</v>
      </c>
      <c r="E110">
        <v>0.11899999999999999</v>
      </c>
      <c r="F110">
        <v>0.12</v>
      </c>
      <c r="G110" s="2">
        <f t="shared" si="1"/>
        <v>0.379</v>
      </c>
    </row>
    <row r="111" spans="1:7">
      <c r="A111">
        <v>1985</v>
      </c>
      <c r="B111" t="s">
        <v>310</v>
      </c>
      <c r="C111" t="s">
        <v>31</v>
      </c>
      <c r="D111" s="2">
        <v>0.1245</v>
      </c>
      <c r="E111">
        <v>0.1245</v>
      </c>
      <c r="F111">
        <v>0.1245</v>
      </c>
      <c r="G111" s="2">
        <f t="shared" si="1"/>
        <v>0.3735</v>
      </c>
    </row>
    <row r="112" spans="1:7">
      <c r="A112">
        <v>1985</v>
      </c>
      <c r="B112" t="s">
        <v>310</v>
      </c>
      <c r="C112" t="s">
        <v>55</v>
      </c>
      <c r="D112" s="2" t="s">
        <v>345</v>
      </c>
      <c r="E112">
        <v>0.11</v>
      </c>
      <c r="F112">
        <v>0.11</v>
      </c>
      <c r="G112" s="2">
        <f t="shared" si="1"/>
        <v>0.22</v>
      </c>
    </row>
    <row r="113" spans="1:7">
      <c r="A113">
        <v>1985</v>
      </c>
      <c r="B113" t="s">
        <v>298</v>
      </c>
      <c r="C113" t="s">
        <v>18</v>
      </c>
      <c r="D113" s="2">
        <v>0.13100000000000001</v>
      </c>
      <c r="E113">
        <v>0.129</v>
      </c>
      <c r="F113" t="s">
        <v>16</v>
      </c>
      <c r="G113" s="2">
        <f t="shared" si="1"/>
        <v>0.26</v>
      </c>
    </row>
    <row r="114" spans="1:7">
      <c r="A114">
        <v>1985</v>
      </c>
      <c r="B114" t="s">
        <v>298</v>
      </c>
      <c r="C114" t="s">
        <v>18</v>
      </c>
      <c r="D114" s="2">
        <v>0.14499999999999999</v>
      </c>
      <c r="E114">
        <v>0.13500000000000001</v>
      </c>
      <c r="F114" t="s">
        <v>16</v>
      </c>
      <c r="G114" s="2">
        <f t="shared" si="1"/>
        <v>0.28000000000000003</v>
      </c>
    </row>
    <row r="115" spans="1:7">
      <c r="A115">
        <v>1985</v>
      </c>
      <c r="B115" t="s">
        <v>298</v>
      </c>
      <c r="C115" t="s">
        <v>15</v>
      </c>
      <c r="D115" s="2">
        <v>0.14099999999999999</v>
      </c>
      <c r="E115">
        <v>0.14099999999999999</v>
      </c>
      <c r="F115">
        <v>0.14099999999999999</v>
      </c>
      <c r="G115" s="2">
        <f t="shared" si="1"/>
        <v>0.42299999999999999</v>
      </c>
    </row>
    <row r="116" spans="1:7">
      <c r="A116">
        <v>1985</v>
      </c>
      <c r="B116" t="s">
        <v>298</v>
      </c>
      <c r="C116" t="s">
        <v>18</v>
      </c>
      <c r="D116" s="2">
        <v>0.13930000000000001</v>
      </c>
      <c r="E116">
        <v>0.13930000000000001</v>
      </c>
      <c r="F116" t="s">
        <v>16</v>
      </c>
      <c r="G116" s="2">
        <f t="shared" si="1"/>
        <v>0.27860000000000001</v>
      </c>
    </row>
    <row r="117" spans="1:7">
      <c r="A117">
        <v>1985</v>
      </c>
      <c r="B117" t="s">
        <v>298</v>
      </c>
      <c r="C117" t="s">
        <v>15</v>
      </c>
      <c r="D117" s="2">
        <v>0.14449999999999999</v>
      </c>
      <c r="E117">
        <v>0.13450000000000001</v>
      </c>
      <c r="F117">
        <v>0.13950000000000001</v>
      </c>
      <c r="G117" s="2">
        <f t="shared" si="1"/>
        <v>0.41849999999999998</v>
      </c>
    </row>
    <row r="118" spans="1:7">
      <c r="A118">
        <v>1985</v>
      </c>
      <c r="B118" t="s">
        <v>298</v>
      </c>
      <c r="C118" t="s">
        <v>18</v>
      </c>
      <c r="D118" s="2" t="s">
        <v>345</v>
      </c>
      <c r="E118">
        <v>0.12989999999999999</v>
      </c>
      <c r="F118">
        <v>0.12989999999999999</v>
      </c>
      <c r="G118" s="2">
        <f t="shared" si="1"/>
        <v>0.25979999999999998</v>
      </c>
    </row>
    <row r="119" spans="1:7">
      <c r="A119">
        <v>1985</v>
      </c>
      <c r="B119" t="s">
        <v>298</v>
      </c>
      <c r="C119" t="s">
        <v>18</v>
      </c>
      <c r="D119" s="2">
        <v>0.14349999999999999</v>
      </c>
      <c r="E119">
        <v>0.13350000000000001</v>
      </c>
      <c r="F119" t="s">
        <v>16</v>
      </c>
      <c r="G119" s="2">
        <f t="shared" si="1"/>
        <v>0.27700000000000002</v>
      </c>
    </row>
    <row r="120" spans="1:7">
      <c r="A120">
        <v>1985</v>
      </c>
      <c r="B120" t="s">
        <v>298</v>
      </c>
      <c r="C120" t="s">
        <v>18</v>
      </c>
      <c r="D120" s="2">
        <v>0.14399999999999999</v>
      </c>
      <c r="E120">
        <v>0.14399999999999999</v>
      </c>
      <c r="F120" t="s">
        <v>16</v>
      </c>
      <c r="G120" s="2">
        <f t="shared" si="1"/>
        <v>0.28799999999999998</v>
      </c>
    </row>
    <row r="121" spans="1:7">
      <c r="A121">
        <v>1985</v>
      </c>
      <c r="B121" t="s">
        <v>298</v>
      </c>
      <c r="C121" t="s">
        <v>15</v>
      </c>
      <c r="D121" s="2">
        <v>0.13400000000000001</v>
      </c>
      <c r="E121">
        <v>0.13400000000000001</v>
      </c>
      <c r="F121">
        <v>0.13400000000000001</v>
      </c>
      <c r="G121" s="2">
        <f t="shared" si="1"/>
        <v>0.40200000000000002</v>
      </c>
    </row>
    <row r="122" spans="1:7">
      <c r="A122">
        <v>1985</v>
      </c>
      <c r="B122" t="s">
        <v>298</v>
      </c>
      <c r="C122" t="s">
        <v>15</v>
      </c>
      <c r="D122" s="2" t="s">
        <v>345</v>
      </c>
      <c r="E122">
        <v>0.13450000000000001</v>
      </c>
      <c r="F122" t="s">
        <v>16</v>
      </c>
      <c r="G122" s="2">
        <f t="shared" si="1"/>
        <v>0.13450000000000001</v>
      </c>
    </row>
    <row r="123" spans="1:7">
      <c r="A123">
        <v>1985</v>
      </c>
      <c r="B123" t="s">
        <v>298</v>
      </c>
      <c r="C123" t="s">
        <v>18</v>
      </c>
      <c r="D123" s="2">
        <v>0.1449</v>
      </c>
      <c r="E123">
        <v>0.13489999999999999</v>
      </c>
      <c r="F123">
        <v>0.1399</v>
      </c>
      <c r="G123" s="2">
        <f t="shared" si="1"/>
        <v>0.41970000000000002</v>
      </c>
    </row>
    <row r="124" spans="1:7">
      <c r="A124">
        <v>1985</v>
      </c>
      <c r="B124" t="s">
        <v>298</v>
      </c>
      <c r="C124" t="s">
        <v>15</v>
      </c>
      <c r="D124" s="2">
        <v>0.14799999999999999</v>
      </c>
      <c r="E124">
        <v>0.14799999999999999</v>
      </c>
      <c r="F124">
        <v>0.14799999999999999</v>
      </c>
      <c r="G124" s="2">
        <f t="shared" si="1"/>
        <v>0.44400000000000001</v>
      </c>
    </row>
    <row r="125" spans="1:7">
      <c r="A125">
        <v>1985</v>
      </c>
      <c r="B125" t="s">
        <v>298</v>
      </c>
      <c r="C125" t="s">
        <v>15</v>
      </c>
      <c r="D125" s="2" t="s">
        <v>345</v>
      </c>
      <c r="E125">
        <v>0.13800000000000001</v>
      </c>
      <c r="F125" t="s">
        <v>16</v>
      </c>
      <c r="G125" s="2">
        <f t="shared" si="1"/>
        <v>0.13800000000000001</v>
      </c>
    </row>
    <row r="126" spans="1:7">
      <c r="A126">
        <v>1986</v>
      </c>
      <c r="B126" t="s">
        <v>310</v>
      </c>
      <c r="C126" t="s">
        <v>21</v>
      </c>
      <c r="D126" s="2">
        <v>0.1275</v>
      </c>
      <c r="E126">
        <v>0.1195</v>
      </c>
      <c r="F126">
        <v>0.122</v>
      </c>
      <c r="G126" s="2">
        <f t="shared" si="1"/>
        <v>0.36899999999999999</v>
      </c>
    </row>
    <row r="127" spans="1:7">
      <c r="A127">
        <v>1986</v>
      </c>
      <c r="B127" t="s">
        <v>310</v>
      </c>
      <c r="C127" t="s">
        <v>25</v>
      </c>
      <c r="D127" s="2">
        <v>0.1275</v>
      </c>
      <c r="E127">
        <v>0.1205</v>
      </c>
      <c r="F127">
        <v>0.123</v>
      </c>
      <c r="G127" s="2">
        <f t="shared" si="1"/>
        <v>0.371</v>
      </c>
    </row>
    <row r="128" spans="1:7">
      <c r="A128">
        <v>1986</v>
      </c>
      <c r="B128" t="s">
        <v>310</v>
      </c>
      <c r="C128" t="s">
        <v>25</v>
      </c>
      <c r="D128" s="2">
        <v>0.13150000000000001</v>
      </c>
      <c r="E128">
        <v>0.1215</v>
      </c>
      <c r="F128">
        <v>0.1265</v>
      </c>
      <c r="G128" s="2">
        <f t="shared" si="1"/>
        <v>0.3795</v>
      </c>
    </row>
    <row r="129" spans="1:7">
      <c r="A129">
        <v>1986</v>
      </c>
      <c r="B129" t="s">
        <v>310</v>
      </c>
      <c r="C129" t="s">
        <v>55</v>
      </c>
      <c r="D129" s="2">
        <v>0.1225</v>
      </c>
      <c r="E129">
        <v>0.1125</v>
      </c>
      <c r="F129">
        <v>0.1125</v>
      </c>
      <c r="G129" s="2">
        <f t="shared" si="1"/>
        <v>0.34749999999999998</v>
      </c>
    </row>
    <row r="130" spans="1:7">
      <c r="A130">
        <v>1986</v>
      </c>
      <c r="B130" t="s">
        <v>310</v>
      </c>
      <c r="C130" t="s">
        <v>15</v>
      </c>
      <c r="D130" s="2">
        <v>0.13500000000000001</v>
      </c>
      <c r="E130">
        <v>0.125</v>
      </c>
      <c r="F130">
        <v>0.13150000000000001</v>
      </c>
      <c r="G130" s="2">
        <f t="shared" si="1"/>
        <v>0.39150000000000001</v>
      </c>
    </row>
    <row r="131" spans="1:7">
      <c r="A131">
        <v>1986</v>
      </c>
      <c r="B131" t="s">
        <v>310</v>
      </c>
      <c r="C131" t="s">
        <v>18</v>
      </c>
      <c r="D131" s="2">
        <v>0.12239999999999999</v>
      </c>
      <c r="E131">
        <v>0.1124</v>
      </c>
      <c r="F131">
        <v>0.111</v>
      </c>
      <c r="G131" s="2">
        <f t="shared" ref="G131:G194" si="2">SUM(D131:F131)</f>
        <v>0.3458</v>
      </c>
    </row>
    <row r="132" spans="1:7">
      <c r="A132">
        <v>1986</v>
      </c>
      <c r="B132" t="s">
        <v>310</v>
      </c>
      <c r="C132" t="s">
        <v>28</v>
      </c>
      <c r="D132" s="2">
        <v>0.11700000000000001</v>
      </c>
      <c r="E132">
        <v>0.11</v>
      </c>
      <c r="F132">
        <v>0.1085</v>
      </c>
      <c r="G132" s="2">
        <f t="shared" si="2"/>
        <v>0.33550000000000002</v>
      </c>
    </row>
    <row r="133" spans="1:7">
      <c r="A133">
        <v>1986</v>
      </c>
      <c r="B133" t="s">
        <v>310</v>
      </c>
      <c r="C133" t="s">
        <v>18</v>
      </c>
      <c r="D133" s="2" t="s">
        <v>345</v>
      </c>
      <c r="E133">
        <v>0.111</v>
      </c>
      <c r="F133">
        <v>0.111</v>
      </c>
      <c r="G133" s="2">
        <f t="shared" si="2"/>
        <v>0.222</v>
      </c>
    </row>
    <row r="134" spans="1:7">
      <c r="A134">
        <v>1986</v>
      </c>
      <c r="B134" t="s">
        <v>310</v>
      </c>
      <c r="C134" t="s">
        <v>25</v>
      </c>
      <c r="D134" s="2">
        <v>0.13350000000000001</v>
      </c>
      <c r="E134">
        <v>0.1235</v>
      </c>
      <c r="F134" t="s">
        <v>16</v>
      </c>
      <c r="G134" s="2">
        <f t="shared" si="2"/>
        <v>0.25700000000000001</v>
      </c>
    </row>
    <row r="135" spans="1:7">
      <c r="A135">
        <v>1986</v>
      </c>
      <c r="B135" t="s">
        <v>310</v>
      </c>
      <c r="C135" t="s">
        <v>100</v>
      </c>
      <c r="D135" s="2">
        <v>0.11650000000000001</v>
      </c>
      <c r="E135">
        <v>0.1065</v>
      </c>
      <c r="F135">
        <v>0.1075</v>
      </c>
      <c r="G135" s="2">
        <f t="shared" si="2"/>
        <v>0.33050000000000002</v>
      </c>
    </row>
    <row r="136" spans="1:7">
      <c r="A136">
        <v>1986</v>
      </c>
      <c r="B136" t="s">
        <v>310</v>
      </c>
      <c r="C136" t="s">
        <v>25</v>
      </c>
      <c r="D136" s="2">
        <v>0.12</v>
      </c>
      <c r="E136">
        <v>0.124</v>
      </c>
      <c r="F136">
        <v>0.107</v>
      </c>
      <c r="G136" s="2">
        <f t="shared" si="2"/>
        <v>0.35099999999999998</v>
      </c>
    </row>
    <row r="137" spans="1:7">
      <c r="A137">
        <v>1986</v>
      </c>
      <c r="B137" t="s">
        <v>310</v>
      </c>
      <c r="C137" t="s">
        <v>28</v>
      </c>
      <c r="D137" s="2">
        <v>0.1195</v>
      </c>
      <c r="E137" t="s">
        <v>16</v>
      </c>
      <c r="F137">
        <v>0.1085</v>
      </c>
      <c r="G137" s="2">
        <f t="shared" si="2"/>
        <v>0.22800000000000001</v>
      </c>
    </row>
    <row r="138" spans="1:7">
      <c r="A138">
        <v>1986</v>
      </c>
      <c r="B138" t="s">
        <v>310</v>
      </c>
      <c r="C138" t="s">
        <v>18</v>
      </c>
      <c r="D138" s="2">
        <v>0.125</v>
      </c>
      <c r="E138">
        <v>0.1125</v>
      </c>
      <c r="F138">
        <v>0.1115</v>
      </c>
      <c r="G138" s="2">
        <f t="shared" si="2"/>
        <v>0.34899999999999998</v>
      </c>
    </row>
    <row r="139" spans="1:7">
      <c r="A139">
        <v>1986</v>
      </c>
      <c r="B139" t="s">
        <v>310</v>
      </c>
      <c r="C139" t="s">
        <v>103</v>
      </c>
      <c r="D139" s="2">
        <v>0.13300000000000001</v>
      </c>
      <c r="E139">
        <v>0.124</v>
      </c>
      <c r="F139">
        <v>0.128</v>
      </c>
      <c r="G139" s="2">
        <f t="shared" si="2"/>
        <v>0.38500000000000001</v>
      </c>
    </row>
    <row r="140" spans="1:7">
      <c r="A140">
        <v>1986</v>
      </c>
      <c r="B140" t="s">
        <v>310</v>
      </c>
      <c r="C140" t="s">
        <v>100</v>
      </c>
      <c r="D140" s="2">
        <v>0.1249</v>
      </c>
      <c r="E140">
        <v>0.11899999999999999</v>
      </c>
      <c r="F140">
        <v>0.11899999999999999</v>
      </c>
      <c r="G140" s="2">
        <f t="shared" si="2"/>
        <v>0.3629</v>
      </c>
    </row>
    <row r="141" spans="1:7">
      <c r="A141">
        <v>1986</v>
      </c>
      <c r="B141" t="s">
        <v>310</v>
      </c>
      <c r="C141" t="s">
        <v>25</v>
      </c>
      <c r="D141" s="2">
        <v>0.13250000000000001</v>
      </c>
      <c r="E141" t="s">
        <v>16</v>
      </c>
      <c r="F141" t="s">
        <v>16</v>
      </c>
      <c r="G141" s="2">
        <f t="shared" si="2"/>
        <v>0.13250000000000001</v>
      </c>
    </row>
    <row r="142" spans="1:7">
      <c r="A142">
        <v>1986</v>
      </c>
      <c r="B142" t="s">
        <v>310</v>
      </c>
      <c r="C142" t="s">
        <v>18</v>
      </c>
      <c r="D142" s="2">
        <v>0.13300000000000001</v>
      </c>
      <c r="E142">
        <v>0.124</v>
      </c>
      <c r="F142">
        <v>0.129</v>
      </c>
      <c r="G142" s="2">
        <f t="shared" si="2"/>
        <v>0.38600000000000001</v>
      </c>
    </row>
    <row r="143" spans="1:7">
      <c r="A143">
        <v>1986</v>
      </c>
      <c r="B143" t="s">
        <v>310</v>
      </c>
      <c r="C143" t="s">
        <v>25</v>
      </c>
      <c r="D143" s="2">
        <v>0.13</v>
      </c>
      <c r="E143">
        <v>0.1275</v>
      </c>
      <c r="F143">
        <v>0.1275</v>
      </c>
      <c r="G143" s="2">
        <f t="shared" si="2"/>
        <v>0.38500000000000001</v>
      </c>
    </row>
    <row r="144" spans="1:7">
      <c r="A144">
        <v>1986</v>
      </c>
      <c r="B144" t="s">
        <v>310</v>
      </c>
      <c r="C144" t="s">
        <v>43</v>
      </c>
      <c r="D144" s="2">
        <v>0.12</v>
      </c>
      <c r="E144">
        <v>0.11</v>
      </c>
      <c r="F144">
        <v>0.115</v>
      </c>
      <c r="G144" s="2">
        <f t="shared" si="2"/>
        <v>0.34499999999999997</v>
      </c>
    </row>
    <row r="145" spans="1:7">
      <c r="A145">
        <v>1986</v>
      </c>
      <c r="B145" t="s">
        <v>310</v>
      </c>
      <c r="C145" t="s">
        <v>18</v>
      </c>
      <c r="D145" s="2">
        <v>0.1195</v>
      </c>
      <c r="E145">
        <v>0.11</v>
      </c>
      <c r="F145">
        <v>0.1085</v>
      </c>
      <c r="G145" s="2">
        <f t="shared" si="2"/>
        <v>0.33800000000000002</v>
      </c>
    </row>
    <row r="146" spans="1:7">
      <c r="A146">
        <v>1986</v>
      </c>
      <c r="B146" t="s">
        <v>310</v>
      </c>
      <c r="C146" t="s">
        <v>18</v>
      </c>
      <c r="D146" s="2">
        <v>0.114</v>
      </c>
      <c r="E146">
        <v>0.107</v>
      </c>
      <c r="F146">
        <v>0.105</v>
      </c>
      <c r="G146" s="2">
        <f t="shared" si="2"/>
        <v>0.32600000000000001</v>
      </c>
    </row>
    <row r="147" spans="1:7">
      <c r="A147">
        <v>1986</v>
      </c>
      <c r="B147" t="s">
        <v>310</v>
      </c>
      <c r="C147" t="s">
        <v>28</v>
      </c>
      <c r="D147" s="2">
        <v>0.1041</v>
      </c>
      <c r="E147" t="s">
        <v>16</v>
      </c>
      <c r="F147">
        <v>0.1057</v>
      </c>
      <c r="G147" s="2">
        <f t="shared" si="2"/>
        <v>0.20979999999999999</v>
      </c>
    </row>
    <row r="148" spans="1:7">
      <c r="A148">
        <v>1986</v>
      </c>
      <c r="B148" t="s">
        <v>310</v>
      </c>
      <c r="C148" t="s">
        <v>248</v>
      </c>
      <c r="D148" s="2">
        <v>0.13500000000000001</v>
      </c>
      <c r="E148">
        <v>0.106</v>
      </c>
      <c r="F148">
        <v>0.1055</v>
      </c>
      <c r="G148" s="2">
        <f t="shared" si="2"/>
        <v>0.34649999999999997</v>
      </c>
    </row>
    <row r="149" spans="1:7">
      <c r="A149">
        <v>1986</v>
      </c>
      <c r="B149" t="s">
        <v>310</v>
      </c>
      <c r="C149" t="s">
        <v>28</v>
      </c>
      <c r="D149" s="2" t="s">
        <v>345</v>
      </c>
      <c r="E149">
        <v>0.1142</v>
      </c>
      <c r="F149">
        <v>0.1132</v>
      </c>
      <c r="G149" s="2">
        <f t="shared" si="2"/>
        <v>0.22739999999999999</v>
      </c>
    </row>
    <row r="150" spans="1:7">
      <c r="A150">
        <v>1986</v>
      </c>
      <c r="B150" t="s">
        <v>310</v>
      </c>
      <c r="C150" t="s">
        <v>28</v>
      </c>
      <c r="D150" s="2">
        <v>0.1191</v>
      </c>
      <c r="E150">
        <v>0.11310000000000001</v>
      </c>
      <c r="F150" t="s">
        <v>16</v>
      </c>
      <c r="G150" s="2">
        <f t="shared" si="2"/>
        <v>0.23219999999999999</v>
      </c>
    </row>
    <row r="151" spans="1:7">
      <c r="A151">
        <v>1986</v>
      </c>
      <c r="B151" t="s">
        <v>310</v>
      </c>
      <c r="C151" t="s">
        <v>31</v>
      </c>
      <c r="D151" s="2">
        <v>0.157</v>
      </c>
      <c r="E151">
        <v>0.157</v>
      </c>
      <c r="F151">
        <v>0.157</v>
      </c>
      <c r="G151" s="2">
        <f t="shared" si="2"/>
        <v>0.47099999999999997</v>
      </c>
    </row>
    <row r="152" spans="1:7">
      <c r="A152">
        <v>1986</v>
      </c>
      <c r="B152" t="s">
        <v>310</v>
      </c>
      <c r="C152" t="s">
        <v>31</v>
      </c>
      <c r="D152" s="2">
        <v>0.157</v>
      </c>
      <c r="E152">
        <v>0.157</v>
      </c>
      <c r="F152">
        <v>0.157</v>
      </c>
      <c r="G152" s="2">
        <f t="shared" si="2"/>
        <v>0.47099999999999997</v>
      </c>
    </row>
    <row r="153" spans="1:7">
      <c r="A153">
        <v>1986</v>
      </c>
      <c r="B153" t="s">
        <v>310</v>
      </c>
      <c r="C153" t="s">
        <v>55</v>
      </c>
      <c r="D153" s="2">
        <v>0.125</v>
      </c>
      <c r="E153">
        <v>0.1125</v>
      </c>
      <c r="F153">
        <v>0.1125</v>
      </c>
      <c r="G153" s="2">
        <f t="shared" si="2"/>
        <v>0.35</v>
      </c>
    </row>
    <row r="154" spans="1:7">
      <c r="A154">
        <v>1986</v>
      </c>
      <c r="B154" t="s">
        <v>310</v>
      </c>
      <c r="C154" t="s">
        <v>31</v>
      </c>
      <c r="D154" s="2">
        <v>0.1215</v>
      </c>
      <c r="E154">
        <v>0.1215</v>
      </c>
      <c r="F154">
        <v>0.1215</v>
      </c>
      <c r="G154" s="2">
        <f t="shared" si="2"/>
        <v>0.36449999999999999</v>
      </c>
    </row>
    <row r="155" spans="1:7">
      <c r="A155">
        <v>1986</v>
      </c>
      <c r="B155" t="s">
        <v>310</v>
      </c>
      <c r="C155" t="s">
        <v>55</v>
      </c>
      <c r="D155" s="2">
        <v>0.1225</v>
      </c>
      <c r="E155">
        <v>0.11700000000000001</v>
      </c>
      <c r="F155">
        <v>0.11700000000000001</v>
      </c>
      <c r="G155" s="2">
        <f t="shared" si="2"/>
        <v>0.35649999999999998</v>
      </c>
    </row>
    <row r="156" spans="1:7">
      <c r="A156">
        <v>1986</v>
      </c>
      <c r="B156" t="s">
        <v>310</v>
      </c>
      <c r="C156" t="s">
        <v>28</v>
      </c>
      <c r="D156" s="2">
        <v>0.1195</v>
      </c>
      <c r="E156">
        <v>0.1085</v>
      </c>
      <c r="F156">
        <v>0.1085</v>
      </c>
      <c r="G156" s="2">
        <f t="shared" si="2"/>
        <v>0.33650000000000002</v>
      </c>
    </row>
    <row r="157" spans="1:7">
      <c r="A157">
        <v>1986</v>
      </c>
      <c r="B157" t="s">
        <v>310</v>
      </c>
      <c r="C157" t="s">
        <v>227</v>
      </c>
      <c r="D157" s="2">
        <v>0.1225</v>
      </c>
      <c r="E157">
        <v>0.11</v>
      </c>
      <c r="F157">
        <v>0.1075</v>
      </c>
      <c r="G157" s="2">
        <f t="shared" si="2"/>
        <v>0.34</v>
      </c>
    </row>
    <row r="158" spans="1:7">
      <c r="A158">
        <v>1986</v>
      </c>
      <c r="B158" t="s">
        <v>310</v>
      </c>
      <c r="C158" t="s">
        <v>55</v>
      </c>
      <c r="D158" s="2" t="s">
        <v>345</v>
      </c>
      <c r="E158">
        <v>0.1129</v>
      </c>
      <c r="F158">
        <v>0.1129</v>
      </c>
      <c r="G158" s="2">
        <f t="shared" si="2"/>
        <v>0.2258</v>
      </c>
    </row>
    <row r="159" spans="1:7">
      <c r="A159">
        <v>1986</v>
      </c>
      <c r="B159" t="s">
        <v>310</v>
      </c>
      <c r="C159" t="s">
        <v>18</v>
      </c>
      <c r="D159" s="2" t="s">
        <v>345</v>
      </c>
      <c r="E159">
        <v>0.11799999999999999</v>
      </c>
      <c r="F159">
        <v>0.12</v>
      </c>
      <c r="G159" s="2">
        <f t="shared" si="2"/>
        <v>0.23799999999999999</v>
      </c>
    </row>
    <row r="160" spans="1:7">
      <c r="A160">
        <v>1986</v>
      </c>
      <c r="B160" t="s">
        <v>310</v>
      </c>
      <c r="C160" t="s">
        <v>243</v>
      </c>
      <c r="D160" s="2">
        <v>0.12</v>
      </c>
      <c r="E160">
        <v>0.11</v>
      </c>
      <c r="F160">
        <v>0.11</v>
      </c>
      <c r="G160" s="2">
        <f t="shared" si="2"/>
        <v>0.34</v>
      </c>
    </row>
    <row r="161" spans="1:7">
      <c r="A161">
        <v>1986</v>
      </c>
      <c r="B161" t="s">
        <v>310</v>
      </c>
      <c r="C161" t="s">
        <v>243</v>
      </c>
      <c r="D161" s="2">
        <v>0.12</v>
      </c>
      <c r="E161">
        <v>0.11</v>
      </c>
      <c r="F161">
        <v>0.11</v>
      </c>
      <c r="G161" s="2">
        <f t="shared" si="2"/>
        <v>0.34</v>
      </c>
    </row>
    <row r="162" spans="1:7">
      <c r="A162">
        <v>1986</v>
      </c>
      <c r="B162" t="s">
        <v>310</v>
      </c>
      <c r="C162" t="s">
        <v>132</v>
      </c>
      <c r="D162" s="2">
        <v>0.107</v>
      </c>
      <c r="E162" t="s">
        <v>16</v>
      </c>
      <c r="F162">
        <v>0.10349999999999999</v>
      </c>
      <c r="G162" s="2">
        <f t="shared" si="2"/>
        <v>0.21049999999999999</v>
      </c>
    </row>
    <row r="163" spans="1:7">
      <c r="A163">
        <v>1986</v>
      </c>
      <c r="B163" t="s">
        <v>298</v>
      </c>
      <c r="C163" t="s">
        <v>18</v>
      </c>
      <c r="D163" s="2">
        <v>0.13600000000000001</v>
      </c>
      <c r="E163">
        <v>0.13200000000000001</v>
      </c>
      <c r="F163" t="s">
        <v>16</v>
      </c>
      <c r="G163" s="2">
        <f t="shared" si="2"/>
        <v>0.26800000000000002</v>
      </c>
    </row>
    <row r="164" spans="1:7">
      <c r="A164">
        <v>1986</v>
      </c>
      <c r="B164" t="s">
        <v>298</v>
      </c>
      <c r="C164" t="s">
        <v>18</v>
      </c>
      <c r="D164" s="2">
        <v>0.14199999999999999</v>
      </c>
      <c r="E164">
        <v>0.14199999999999999</v>
      </c>
      <c r="F164" t="s">
        <v>16</v>
      </c>
      <c r="G164" s="2">
        <f t="shared" si="2"/>
        <v>0.28399999999999997</v>
      </c>
    </row>
    <row r="165" spans="1:7">
      <c r="A165">
        <v>1986</v>
      </c>
      <c r="B165" t="s">
        <v>298</v>
      </c>
      <c r="C165" t="s">
        <v>15</v>
      </c>
      <c r="D165" s="2">
        <v>0.13900000000000001</v>
      </c>
      <c r="E165">
        <v>0.13900000000000001</v>
      </c>
      <c r="F165">
        <v>0.13900000000000001</v>
      </c>
      <c r="G165" s="2">
        <f t="shared" si="2"/>
        <v>0.41699999999999998</v>
      </c>
    </row>
    <row r="166" spans="1:7">
      <c r="A166">
        <v>1986</v>
      </c>
      <c r="B166" t="s">
        <v>298</v>
      </c>
      <c r="C166" t="s">
        <v>18</v>
      </c>
      <c r="D166" s="2">
        <v>0.1474</v>
      </c>
      <c r="E166">
        <v>0.13739999999999999</v>
      </c>
      <c r="F166">
        <v>0.1424</v>
      </c>
      <c r="G166" s="2">
        <f t="shared" si="2"/>
        <v>0.42720000000000002</v>
      </c>
    </row>
    <row r="167" spans="1:7">
      <c r="A167">
        <v>1986</v>
      </c>
      <c r="B167" t="s">
        <v>298</v>
      </c>
      <c r="C167" t="s">
        <v>18</v>
      </c>
      <c r="D167" s="2" t="s">
        <v>345</v>
      </c>
      <c r="E167">
        <v>0.13489999999999999</v>
      </c>
      <c r="F167">
        <v>0.13489999999999999</v>
      </c>
      <c r="G167" s="2">
        <f t="shared" si="2"/>
        <v>0.26979999999999998</v>
      </c>
    </row>
    <row r="168" spans="1:7">
      <c r="A168">
        <v>1986</v>
      </c>
      <c r="B168" t="s">
        <v>298</v>
      </c>
      <c r="C168" t="s">
        <v>15</v>
      </c>
      <c r="D168" s="2" t="s">
        <v>345</v>
      </c>
      <c r="E168">
        <v>0.14299999999999999</v>
      </c>
      <c r="F168" t="s">
        <v>16</v>
      </c>
      <c r="G168" s="2">
        <f t="shared" si="2"/>
        <v>0.14299999999999999</v>
      </c>
    </row>
    <row r="169" spans="1:7">
      <c r="A169">
        <v>1986</v>
      </c>
      <c r="B169" t="s">
        <v>298</v>
      </c>
      <c r="C169" t="s">
        <v>18</v>
      </c>
      <c r="D169" s="2">
        <v>0.14749999999999999</v>
      </c>
      <c r="E169">
        <v>0.14749999999999999</v>
      </c>
      <c r="F169" t="s">
        <v>16</v>
      </c>
      <c r="G169" s="2">
        <f t="shared" si="2"/>
        <v>0.29499999999999998</v>
      </c>
    </row>
    <row r="170" spans="1:7">
      <c r="A170">
        <v>1986</v>
      </c>
      <c r="B170" t="s">
        <v>298</v>
      </c>
      <c r="C170" t="s">
        <v>18</v>
      </c>
      <c r="D170" s="2">
        <v>0.1469</v>
      </c>
      <c r="E170">
        <v>0.13689999999999999</v>
      </c>
      <c r="F170" t="s">
        <v>16</v>
      </c>
      <c r="G170" s="2">
        <f t="shared" si="2"/>
        <v>0.2838</v>
      </c>
    </row>
    <row r="171" spans="1:7">
      <c r="A171">
        <v>1986</v>
      </c>
      <c r="B171" t="s">
        <v>298</v>
      </c>
      <c r="C171" t="s">
        <v>15</v>
      </c>
      <c r="D171" s="2">
        <v>0.14399999999999999</v>
      </c>
      <c r="E171">
        <v>0.13400000000000001</v>
      </c>
      <c r="F171">
        <v>0.13950000000000001</v>
      </c>
      <c r="G171" s="2">
        <f t="shared" si="2"/>
        <v>0.41749999999999998</v>
      </c>
    </row>
    <row r="172" spans="1:7">
      <c r="A172">
        <v>1986</v>
      </c>
      <c r="B172" t="s">
        <v>298</v>
      </c>
      <c r="C172" t="s">
        <v>15</v>
      </c>
      <c r="D172" s="2">
        <v>0.14699999999999999</v>
      </c>
      <c r="E172">
        <v>0.13700000000000001</v>
      </c>
      <c r="F172">
        <v>0.14199999999999999</v>
      </c>
      <c r="G172" s="2">
        <f t="shared" si="2"/>
        <v>0.42599999999999999</v>
      </c>
    </row>
    <row r="173" spans="1:7">
      <c r="A173">
        <v>1986</v>
      </c>
      <c r="B173" t="s">
        <v>298</v>
      </c>
      <c r="C173" t="s">
        <v>15</v>
      </c>
      <c r="D173" s="2" t="s">
        <v>345</v>
      </c>
      <c r="E173">
        <v>0.13800000000000001</v>
      </c>
      <c r="F173" t="s">
        <v>16</v>
      </c>
      <c r="G173" s="2">
        <f t="shared" si="2"/>
        <v>0.13800000000000001</v>
      </c>
    </row>
    <row r="174" spans="1:7">
      <c r="A174">
        <v>1986</v>
      </c>
      <c r="B174" t="s">
        <v>298</v>
      </c>
      <c r="C174" t="s">
        <v>15</v>
      </c>
      <c r="D174" s="2">
        <v>0.15049999999999999</v>
      </c>
      <c r="E174">
        <v>0.15049999999999999</v>
      </c>
      <c r="F174">
        <v>0.15049999999999999</v>
      </c>
      <c r="G174" s="2">
        <f t="shared" si="2"/>
        <v>0.45150000000000001</v>
      </c>
    </row>
    <row r="175" spans="1:7">
      <c r="A175">
        <v>1986</v>
      </c>
      <c r="B175" t="s">
        <v>298</v>
      </c>
      <c r="C175" t="s">
        <v>18</v>
      </c>
      <c r="D175" s="2">
        <v>0.14599999999999999</v>
      </c>
      <c r="E175">
        <v>0.13600000000000001</v>
      </c>
      <c r="F175" t="s">
        <v>16</v>
      </c>
      <c r="G175" s="2">
        <f t="shared" si="2"/>
        <v>0.28199999999999997</v>
      </c>
    </row>
    <row r="176" spans="1:7">
      <c r="A176">
        <v>1987</v>
      </c>
      <c r="B176" t="s">
        <v>310</v>
      </c>
      <c r="C176" t="s">
        <v>112</v>
      </c>
      <c r="D176" s="2">
        <v>0.125</v>
      </c>
      <c r="E176">
        <v>0.113</v>
      </c>
      <c r="F176">
        <v>0.11799999999999999</v>
      </c>
      <c r="G176" s="2">
        <f t="shared" si="2"/>
        <v>0.35599999999999998</v>
      </c>
    </row>
    <row r="177" spans="1:7">
      <c r="A177">
        <v>1987</v>
      </c>
      <c r="B177" t="s">
        <v>310</v>
      </c>
      <c r="C177" t="s">
        <v>25</v>
      </c>
      <c r="D177" s="2">
        <v>0.13650000000000001</v>
      </c>
      <c r="E177">
        <v>0.1265</v>
      </c>
      <c r="F177">
        <v>0.13150000000000001</v>
      </c>
      <c r="G177" s="2">
        <f t="shared" si="2"/>
        <v>0.39450000000000002</v>
      </c>
    </row>
    <row r="178" spans="1:7">
      <c r="A178">
        <v>1987</v>
      </c>
      <c r="B178" t="s">
        <v>310</v>
      </c>
      <c r="C178" t="s">
        <v>31</v>
      </c>
      <c r="D178" s="2">
        <v>0.125</v>
      </c>
      <c r="E178">
        <v>0.11899999999999999</v>
      </c>
      <c r="F178">
        <v>0.11899999999999999</v>
      </c>
      <c r="G178" s="2">
        <f t="shared" si="2"/>
        <v>0.36299999999999999</v>
      </c>
    </row>
    <row r="179" spans="1:7">
      <c r="A179">
        <v>1987</v>
      </c>
      <c r="B179" t="s">
        <v>310</v>
      </c>
      <c r="C179" t="s">
        <v>18</v>
      </c>
      <c r="D179" s="2">
        <v>0.13550000000000001</v>
      </c>
      <c r="E179">
        <v>0.1265</v>
      </c>
      <c r="F179">
        <v>0.13150000000000001</v>
      </c>
      <c r="G179" s="2">
        <f t="shared" si="2"/>
        <v>0.39350000000000002</v>
      </c>
    </row>
    <row r="180" spans="1:7">
      <c r="A180">
        <v>1987</v>
      </c>
      <c r="B180" t="s">
        <v>310</v>
      </c>
      <c r="C180" t="s">
        <v>55</v>
      </c>
      <c r="D180" s="2">
        <v>0.122</v>
      </c>
      <c r="E180">
        <v>0.1115</v>
      </c>
      <c r="F180">
        <v>0.1115</v>
      </c>
      <c r="G180" s="2">
        <f t="shared" si="2"/>
        <v>0.34499999999999997</v>
      </c>
    </row>
    <row r="181" spans="1:7">
      <c r="A181">
        <v>1987</v>
      </c>
      <c r="B181" t="s">
        <v>310</v>
      </c>
      <c r="C181" t="s">
        <v>15</v>
      </c>
      <c r="D181" s="2">
        <v>0.129</v>
      </c>
      <c r="E181">
        <v>0.125</v>
      </c>
      <c r="F181">
        <v>0.13150000000000001</v>
      </c>
      <c r="G181" s="2">
        <f t="shared" si="2"/>
        <v>0.38550000000000001</v>
      </c>
    </row>
    <row r="182" spans="1:7">
      <c r="A182">
        <v>1987</v>
      </c>
      <c r="B182" t="s">
        <v>310</v>
      </c>
      <c r="C182" t="s">
        <v>18</v>
      </c>
      <c r="D182" s="2">
        <v>0.122</v>
      </c>
      <c r="E182">
        <v>0.112</v>
      </c>
      <c r="F182">
        <v>0.111</v>
      </c>
      <c r="G182" s="2">
        <f t="shared" si="2"/>
        <v>0.34499999999999997</v>
      </c>
    </row>
    <row r="183" spans="1:7">
      <c r="A183">
        <v>1987</v>
      </c>
      <c r="B183" t="s">
        <v>310</v>
      </c>
      <c r="C183" t="s">
        <v>28</v>
      </c>
      <c r="D183" s="2">
        <v>0.11700000000000001</v>
      </c>
      <c r="E183">
        <v>0.114</v>
      </c>
      <c r="F183">
        <v>0.1085</v>
      </c>
      <c r="G183" s="2">
        <f t="shared" si="2"/>
        <v>0.33950000000000002</v>
      </c>
    </row>
    <row r="184" spans="1:7">
      <c r="A184">
        <v>1987</v>
      </c>
      <c r="B184" t="s">
        <v>310</v>
      </c>
      <c r="C184" t="s">
        <v>18</v>
      </c>
      <c r="D184" s="2" t="s">
        <v>345</v>
      </c>
      <c r="E184">
        <v>0.125</v>
      </c>
      <c r="F184">
        <v>0.125</v>
      </c>
      <c r="G184" s="2">
        <f t="shared" si="2"/>
        <v>0.25</v>
      </c>
    </row>
    <row r="185" spans="1:7">
      <c r="A185">
        <v>1987</v>
      </c>
      <c r="B185" t="s">
        <v>310</v>
      </c>
      <c r="C185" t="s">
        <v>25</v>
      </c>
      <c r="D185" s="2">
        <v>0.13</v>
      </c>
      <c r="E185">
        <v>0.123</v>
      </c>
      <c r="F185">
        <v>0.1255</v>
      </c>
      <c r="G185" s="2">
        <f t="shared" si="2"/>
        <v>0.3785</v>
      </c>
    </row>
    <row r="186" spans="1:7">
      <c r="A186">
        <v>1987</v>
      </c>
      <c r="B186" t="s">
        <v>310</v>
      </c>
      <c r="C186" t="s">
        <v>25</v>
      </c>
      <c r="D186" s="2">
        <v>0.13</v>
      </c>
      <c r="E186">
        <v>0.123</v>
      </c>
      <c r="F186">
        <v>0.123</v>
      </c>
      <c r="G186" s="2">
        <f t="shared" si="2"/>
        <v>0.376</v>
      </c>
    </row>
    <row r="187" spans="1:7">
      <c r="A187">
        <v>1987</v>
      </c>
      <c r="B187" t="s">
        <v>310</v>
      </c>
      <c r="C187" t="s">
        <v>28</v>
      </c>
      <c r="D187" s="2">
        <v>0.11990000000000001</v>
      </c>
      <c r="E187" t="s">
        <v>16</v>
      </c>
      <c r="F187">
        <v>0.1105</v>
      </c>
      <c r="G187" s="2">
        <f t="shared" si="2"/>
        <v>0.23039999999999999</v>
      </c>
    </row>
    <row r="188" spans="1:7">
      <c r="A188">
        <v>1987</v>
      </c>
      <c r="B188" t="s">
        <v>310</v>
      </c>
      <c r="C188" t="s">
        <v>18</v>
      </c>
      <c r="D188" s="2">
        <v>0.123</v>
      </c>
      <c r="E188">
        <v>0.1125</v>
      </c>
      <c r="F188">
        <v>0.1115</v>
      </c>
      <c r="G188" s="2">
        <f t="shared" si="2"/>
        <v>0.34699999999999998</v>
      </c>
    </row>
    <row r="189" spans="1:7">
      <c r="A189">
        <v>1987</v>
      </c>
      <c r="B189" t="s">
        <v>310</v>
      </c>
      <c r="C189" t="s">
        <v>103</v>
      </c>
      <c r="D189" s="2">
        <v>0.13700000000000001</v>
      </c>
      <c r="E189">
        <v>0.124</v>
      </c>
      <c r="F189">
        <v>0.128</v>
      </c>
      <c r="G189" s="2">
        <f t="shared" si="2"/>
        <v>0.38900000000000001</v>
      </c>
    </row>
    <row r="190" spans="1:7">
      <c r="A190">
        <v>1987</v>
      </c>
      <c r="B190" t="s">
        <v>310</v>
      </c>
      <c r="C190" t="s">
        <v>15</v>
      </c>
      <c r="D190" s="2">
        <v>0.127</v>
      </c>
      <c r="E190">
        <v>0.1125</v>
      </c>
      <c r="F190">
        <v>0.1125</v>
      </c>
      <c r="G190" s="2">
        <f t="shared" si="2"/>
        <v>0.35199999999999998</v>
      </c>
    </row>
    <row r="191" spans="1:7">
      <c r="A191">
        <v>1987</v>
      </c>
      <c r="B191" t="s">
        <v>310</v>
      </c>
      <c r="C191" t="s">
        <v>43</v>
      </c>
      <c r="D191" s="2">
        <v>0.12</v>
      </c>
      <c r="E191">
        <v>0.11</v>
      </c>
      <c r="F191">
        <v>0.115</v>
      </c>
      <c r="G191" s="2">
        <f t="shared" si="2"/>
        <v>0.34499999999999997</v>
      </c>
    </row>
    <row r="192" spans="1:7">
      <c r="A192">
        <v>1987</v>
      </c>
      <c r="B192" t="s">
        <v>310</v>
      </c>
      <c r="C192" t="s">
        <v>25</v>
      </c>
      <c r="D192" s="2">
        <v>0.13250000000000001</v>
      </c>
      <c r="E192" t="s">
        <v>16</v>
      </c>
      <c r="F192" t="s">
        <v>16</v>
      </c>
      <c r="G192" s="2">
        <f t="shared" si="2"/>
        <v>0.13250000000000001</v>
      </c>
    </row>
    <row r="193" spans="1:7">
      <c r="A193">
        <v>1987</v>
      </c>
      <c r="B193" t="s">
        <v>310</v>
      </c>
      <c r="C193" t="s">
        <v>132</v>
      </c>
      <c r="D193" s="2">
        <v>0.11550000000000001</v>
      </c>
      <c r="E193">
        <v>0.1055</v>
      </c>
      <c r="F193">
        <v>0.114</v>
      </c>
      <c r="G193" s="2">
        <f t="shared" si="2"/>
        <v>0.33500000000000002</v>
      </c>
    </row>
    <row r="194" spans="1:7">
      <c r="A194">
        <v>1987</v>
      </c>
      <c r="B194" t="s">
        <v>310</v>
      </c>
      <c r="C194" t="s">
        <v>15</v>
      </c>
      <c r="D194" s="2">
        <v>0.13500000000000001</v>
      </c>
      <c r="E194">
        <v>0.128</v>
      </c>
      <c r="F194">
        <v>0.13200000000000001</v>
      </c>
      <c r="G194" s="2">
        <f t="shared" si="2"/>
        <v>0.39500000000000002</v>
      </c>
    </row>
    <row r="195" spans="1:7">
      <c r="A195">
        <v>1987</v>
      </c>
      <c r="B195" t="s">
        <v>310</v>
      </c>
      <c r="C195" t="s">
        <v>18</v>
      </c>
      <c r="D195" s="2">
        <v>0.122</v>
      </c>
      <c r="E195">
        <v>0.112</v>
      </c>
      <c r="F195">
        <v>0.111</v>
      </c>
      <c r="G195" s="2">
        <f t="shared" ref="G195:G258" si="3">SUM(D195:F195)</f>
        <v>0.34499999999999997</v>
      </c>
    </row>
    <row r="196" spans="1:7">
      <c r="A196">
        <v>1987</v>
      </c>
      <c r="B196" t="s">
        <v>310</v>
      </c>
      <c r="C196" t="s">
        <v>18</v>
      </c>
      <c r="D196" s="2">
        <v>0.11650000000000001</v>
      </c>
      <c r="E196">
        <v>0.1095</v>
      </c>
      <c r="F196">
        <v>0.1075</v>
      </c>
      <c r="G196" s="2">
        <f t="shared" si="3"/>
        <v>0.33350000000000002</v>
      </c>
    </row>
    <row r="197" spans="1:7">
      <c r="A197">
        <v>1987</v>
      </c>
      <c r="B197" t="s">
        <v>310</v>
      </c>
      <c r="C197" t="s">
        <v>28</v>
      </c>
      <c r="D197" s="2">
        <v>0.122</v>
      </c>
      <c r="E197">
        <v>0.112</v>
      </c>
      <c r="F197">
        <v>0.113</v>
      </c>
      <c r="G197" s="2">
        <f t="shared" si="3"/>
        <v>0.34699999999999998</v>
      </c>
    </row>
    <row r="198" spans="1:7">
      <c r="A198">
        <v>1987</v>
      </c>
      <c r="B198" t="s">
        <v>310</v>
      </c>
      <c r="C198" t="s">
        <v>55</v>
      </c>
      <c r="D198" s="2">
        <v>0.1295</v>
      </c>
      <c r="E198">
        <v>0.11700000000000001</v>
      </c>
      <c r="F198">
        <v>0.11700000000000001</v>
      </c>
      <c r="G198" s="2">
        <f t="shared" si="3"/>
        <v>0.36349999999999999</v>
      </c>
    </row>
    <row r="199" spans="1:7">
      <c r="A199">
        <v>1987</v>
      </c>
      <c r="B199" t="s">
        <v>310</v>
      </c>
      <c r="C199" t="s">
        <v>28</v>
      </c>
      <c r="D199" s="2">
        <v>0.121</v>
      </c>
      <c r="E199">
        <v>0.1115</v>
      </c>
      <c r="F199">
        <v>0.1115</v>
      </c>
      <c r="G199" s="2">
        <f t="shared" si="3"/>
        <v>0.34399999999999997</v>
      </c>
    </row>
    <row r="200" spans="1:7">
      <c r="A200">
        <v>1987</v>
      </c>
      <c r="B200" t="s">
        <v>310</v>
      </c>
      <c r="C200" t="s">
        <v>55</v>
      </c>
      <c r="D200" s="2">
        <v>0.1152</v>
      </c>
      <c r="E200">
        <v>0.10580000000000001</v>
      </c>
      <c r="F200">
        <v>0.1041</v>
      </c>
      <c r="G200" s="2">
        <f t="shared" si="3"/>
        <v>0.3251</v>
      </c>
    </row>
    <row r="201" spans="1:7">
      <c r="A201">
        <v>1987</v>
      </c>
      <c r="B201" t="s">
        <v>310</v>
      </c>
      <c r="C201" t="s">
        <v>31</v>
      </c>
      <c r="D201" s="2">
        <v>0.159</v>
      </c>
      <c r="E201">
        <v>0.159</v>
      </c>
      <c r="F201">
        <v>0.159</v>
      </c>
      <c r="G201" s="2">
        <f t="shared" si="3"/>
        <v>0.47699999999999998</v>
      </c>
    </row>
    <row r="202" spans="1:7">
      <c r="A202">
        <v>1987</v>
      </c>
      <c r="B202" t="s">
        <v>310</v>
      </c>
      <c r="C202" t="s">
        <v>31</v>
      </c>
      <c r="D202" s="2">
        <v>0.159</v>
      </c>
      <c r="E202">
        <v>0.159</v>
      </c>
      <c r="F202">
        <v>0.159</v>
      </c>
      <c r="G202" s="2">
        <f t="shared" si="3"/>
        <v>0.47699999999999998</v>
      </c>
    </row>
    <row r="203" spans="1:7">
      <c r="A203">
        <v>1987</v>
      </c>
      <c r="B203" t="s">
        <v>310</v>
      </c>
      <c r="C203" t="s">
        <v>243</v>
      </c>
      <c r="D203" s="2">
        <v>0.11899999999999999</v>
      </c>
      <c r="E203">
        <v>0.11</v>
      </c>
      <c r="F203">
        <v>0.11</v>
      </c>
      <c r="G203" s="2">
        <f t="shared" si="3"/>
        <v>0.33900000000000002</v>
      </c>
    </row>
    <row r="204" spans="1:7">
      <c r="A204">
        <v>1987</v>
      </c>
      <c r="B204" t="s">
        <v>310</v>
      </c>
      <c r="C204" t="s">
        <v>248</v>
      </c>
      <c r="D204" s="2">
        <v>0.122</v>
      </c>
      <c r="E204">
        <v>0.11</v>
      </c>
      <c r="F204">
        <v>0.11</v>
      </c>
      <c r="G204" s="2">
        <f t="shared" si="3"/>
        <v>0.34200000000000003</v>
      </c>
    </row>
    <row r="205" spans="1:7">
      <c r="A205">
        <v>1987</v>
      </c>
      <c r="B205" t="s">
        <v>310</v>
      </c>
      <c r="C205" t="s">
        <v>28</v>
      </c>
      <c r="D205" s="2">
        <v>0.122</v>
      </c>
      <c r="E205">
        <v>0.115</v>
      </c>
      <c r="F205">
        <v>0.115</v>
      </c>
      <c r="G205" s="2">
        <f t="shared" si="3"/>
        <v>0.35199999999999998</v>
      </c>
    </row>
    <row r="206" spans="1:7">
      <c r="A206">
        <v>1987</v>
      </c>
      <c r="B206" t="s">
        <v>310</v>
      </c>
      <c r="C206" t="s">
        <v>28</v>
      </c>
      <c r="D206" s="2">
        <v>0.12</v>
      </c>
      <c r="E206">
        <v>0.111</v>
      </c>
      <c r="F206">
        <v>0.111</v>
      </c>
      <c r="G206" s="2">
        <f t="shared" si="3"/>
        <v>0.34200000000000003</v>
      </c>
    </row>
    <row r="207" spans="1:7">
      <c r="A207">
        <v>1987</v>
      </c>
      <c r="B207" t="s">
        <v>310</v>
      </c>
      <c r="C207" t="s">
        <v>227</v>
      </c>
      <c r="D207" s="2">
        <v>0.126</v>
      </c>
      <c r="E207">
        <v>0.11600000000000001</v>
      </c>
      <c r="F207">
        <v>0.11600000000000001</v>
      </c>
      <c r="G207" s="2">
        <f t="shared" si="3"/>
        <v>0.35799999999999998</v>
      </c>
    </row>
    <row r="208" spans="1:7">
      <c r="A208">
        <v>1987</v>
      </c>
      <c r="B208" t="s">
        <v>310</v>
      </c>
      <c r="C208" t="s">
        <v>28</v>
      </c>
      <c r="D208" s="2">
        <v>0.1173</v>
      </c>
      <c r="E208">
        <v>0.11</v>
      </c>
      <c r="F208">
        <v>0.111</v>
      </c>
      <c r="G208" s="2">
        <f t="shared" si="3"/>
        <v>0.33829999999999999</v>
      </c>
    </row>
    <row r="209" spans="1:7">
      <c r="A209">
        <v>1987</v>
      </c>
      <c r="B209" t="s">
        <v>310</v>
      </c>
      <c r="C209" t="s">
        <v>18</v>
      </c>
      <c r="D209" s="2">
        <v>0.1285</v>
      </c>
      <c r="E209">
        <v>0.11849999999999999</v>
      </c>
      <c r="F209">
        <v>0.1235</v>
      </c>
      <c r="G209" s="2">
        <f t="shared" si="3"/>
        <v>0.3705</v>
      </c>
    </row>
    <row r="210" spans="1:7">
      <c r="A210">
        <v>1987</v>
      </c>
      <c r="B210" t="s">
        <v>310</v>
      </c>
      <c r="C210" t="s">
        <v>248</v>
      </c>
      <c r="D210" s="2">
        <v>0.13500000000000001</v>
      </c>
      <c r="E210">
        <v>0.106</v>
      </c>
      <c r="F210">
        <v>0.1055</v>
      </c>
      <c r="G210" s="2">
        <f t="shared" si="3"/>
        <v>0.34649999999999997</v>
      </c>
    </row>
    <row r="211" spans="1:7">
      <c r="A211">
        <v>1987</v>
      </c>
      <c r="B211" t="s">
        <v>310</v>
      </c>
      <c r="C211" t="s">
        <v>15</v>
      </c>
      <c r="D211" s="2">
        <v>0.11700000000000001</v>
      </c>
      <c r="E211">
        <v>0.1055</v>
      </c>
      <c r="F211">
        <v>0.114</v>
      </c>
      <c r="G211" s="2">
        <f t="shared" si="3"/>
        <v>0.33650000000000002</v>
      </c>
    </row>
    <row r="212" spans="1:7">
      <c r="A212">
        <v>1987</v>
      </c>
      <c r="B212" t="s">
        <v>310</v>
      </c>
      <c r="C212" t="s">
        <v>132</v>
      </c>
      <c r="D212" s="2">
        <v>0.11700000000000001</v>
      </c>
      <c r="E212">
        <v>0.107</v>
      </c>
      <c r="F212">
        <v>0.10349999999999999</v>
      </c>
      <c r="G212" s="2">
        <f t="shared" si="3"/>
        <v>0.32750000000000001</v>
      </c>
    </row>
    <row r="213" spans="1:7">
      <c r="A213">
        <v>1987</v>
      </c>
      <c r="B213" t="s">
        <v>298</v>
      </c>
      <c r="C213" t="s">
        <v>15</v>
      </c>
      <c r="D213" s="2">
        <v>0.14749999999999999</v>
      </c>
      <c r="E213">
        <v>0.13750000000000001</v>
      </c>
      <c r="F213">
        <v>0.14249999999999999</v>
      </c>
      <c r="G213" s="2">
        <f t="shared" si="3"/>
        <v>0.42749999999999999</v>
      </c>
    </row>
    <row r="214" spans="1:7">
      <c r="A214">
        <v>1987</v>
      </c>
      <c r="B214" t="s">
        <v>298</v>
      </c>
      <c r="C214" t="s">
        <v>15</v>
      </c>
      <c r="D214" s="2">
        <v>0.14749999999999999</v>
      </c>
      <c r="E214">
        <v>0.13750000000000001</v>
      </c>
      <c r="F214">
        <v>0.14249999999999999</v>
      </c>
      <c r="G214" s="2">
        <f t="shared" si="3"/>
        <v>0.42749999999999999</v>
      </c>
    </row>
    <row r="215" spans="1:7">
      <c r="A215">
        <v>1987</v>
      </c>
      <c r="B215" t="s">
        <v>298</v>
      </c>
      <c r="C215" t="s">
        <v>18</v>
      </c>
      <c r="D215" s="2">
        <v>0.14949999999999999</v>
      </c>
      <c r="E215">
        <v>0.14949999999999999</v>
      </c>
      <c r="F215" t="s">
        <v>16</v>
      </c>
      <c r="G215" s="2">
        <f t="shared" si="3"/>
        <v>0.29899999999999999</v>
      </c>
    </row>
    <row r="216" spans="1:7">
      <c r="A216">
        <v>1987</v>
      </c>
      <c r="B216" t="s">
        <v>298</v>
      </c>
      <c r="C216" t="s">
        <v>15</v>
      </c>
      <c r="D216" s="2" t="s">
        <v>345</v>
      </c>
      <c r="E216">
        <v>0.14050000000000001</v>
      </c>
      <c r="F216" t="s">
        <v>16</v>
      </c>
      <c r="G216" s="2">
        <f t="shared" si="3"/>
        <v>0.14050000000000001</v>
      </c>
    </row>
    <row r="217" spans="1:7">
      <c r="A217">
        <v>1987</v>
      </c>
      <c r="B217" t="s">
        <v>298</v>
      </c>
      <c r="C217" t="s">
        <v>18</v>
      </c>
      <c r="D217" s="2">
        <v>0.14949999999999999</v>
      </c>
      <c r="E217">
        <v>0.14050000000000001</v>
      </c>
      <c r="F217">
        <v>0.14549999999999999</v>
      </c>
      <c r="G217" s="2">
        <f t="shared" si="3"/>
        <v>0.4355</v>
      </c>
    </row>
    <row r="218" spans="1:7">
      <c r="A218">
        <v>1987</v>
      </c>
      <c r="B218" t="s">
        <v>298</v>
      </c>
      <c r="C218" t="s">
        <v>18</v>
      </c>
      <c r="D218" s="2">
        <v>0.14949999999999999</v>
      </c>
      <c r="E218">
        <v>0.14050000000000001</v>
      </c>
      <c r="F218">
        <v>0.14050000000000001</v>
      </c>
      <c r="G218" s="2">
        <f t="shared" si="3"/>
        <v>0.43049999999999999</v>
      </c>
    </row>
    <row r="219" spans="1:7">
      <c r="A219">
        <v>1987</v>
      </c>
      <c r="B219" t="s">
        <v>298</v>
      </c>
      <c r="C219" t="s">
        <v>18</v>
      </c>
      <c r="D219" s="2">
        <v>0.14749999999999999</v>
      </c>
      <c r="E219">
        <v>0.13750000000000001</v>
      </c>
      <c r="F219" t="s">
        <v>16</v>
      </c>
      <c r="G219" s="2">
        <f t="shared" si="3"/>
        <v>0.28499999999999998</v>
      </c>
    </row>
    <row r="220" spans="1:7">
      <c r="A220">
        <v>1987</v>
      </c>
      <c r="B220" t="s">
        <v>298</v>
      </c>
      <c r="C220" t="s">
        <v>15</v>
      </c>
      <c r="D220" s="2">
        <v>0.155</v>
      </c>
      <c r="E220">
        <v>0.14499999999999999</v>
      </c>
      <c r="F220" t="s">
        <v>16</v>
      </c>
      <c r="G220" s="2">
        <f t="shared" si="3"/>
        <v>0.3</v>
      </c>
    </row>
    <row r="221" spans="1:7">
      <c r="A221">
        <v>1987</v>
      </c>
      <c r="B221" t="s">
        <v>298</v>
      </c>
      <c r="C221" t="s">
        <v>18</v>
      </c>
      <c r="D221" s="2">
        <v>0.1535</v>
      </c>
      <c r="E221">
        <v>0.1535</v>
      </c>
      <c r="F221" t="s">
        <v>16</v>
      </c>
      <c r="G221" s="2">
        <f t="shared" si="3"/>
        <v>0.307</v>
      </c>
    </row>
    <row r="222" spans="1:7">
      <c r="A222">
        <v>1987</v>
      </c>
      <c r="B222" t="s">
        <v>298</v>
      </c>
      <c r="C222" t="s">
        <v>18</v>
      </c>
      <c r="D222" s="2">
        <v>0.1525</v>
      </c>
      <c r="E222">
        <v>0.14499999999999999</v>
      </c>
      <c r="F222" t="s">
        <v>16</v>
      </c>
      <c r="G222" s="2">
        <f t="shared" si="3"/>
        <v>0.29749999999999999</v>
      </c>
    </row>
    <row r="223" spans="1:7">
      <c r="A223">
        <v>1987</v>
      </c>
      <c r="B223" t="s">
        <v>298</v>
      </c>
      <c r="C223" t="s">
        <v>18</v>
      </c>
      <c r="D223" s="2">
        <v>0.13500000000000001</v>
      </c>
      <c r="E223">
        <v>0.128</v>
      </c>
      <c r="F223">
        <v>0.13300000000000001</v>
      </c>
      <c r="G223" s="2">
        <f t="shared" si="3"/>
        <v>0.39600000000000002</v>
      </c>
    </row>
    <row r="224" spans="1:7">
      <c r="A224">
        <v>1987</v>
      </c>
      <c r="B224" t="s">
        <v>298</v>
      </c>
      <c r="C224" t="s">
        <v>15</v>
      </c>
      <c r="D224" s="2">
        <v>0.153</v>
      </c>
      <c r="E224">
        <v>0.153</v>
      </c>
      <c r="F224">
        <v>0.153</v>
      </c>
      <c r="G224" s="2">
        <f t="shared" si="3"/>
        <v>0.45900000000000002</v>
      </c>
    </row>
    <row r="225" spans="1:7">
      <c r="A225">
        <v>1987</v>
      </c>
      <c r="B225" t="s">
        <v>298</v>
      </c>
      <c r="C225" t="s">
        <v>18</v>
      </c>
      <c r="D225" s="2">
        <v>0.1535</v>
      </c>
      <c r="E225">
        <v>0.14349999999999999</v>
      </c>
      <c r="F225">
        <v>0.14849999999999999</v>
      </c>
      <c r="G225" s="2">
        <f t="shared" si="3"/>
        <v>0.44550000000000001</v>
      </c>
    </row>
    <row r="226" spans="1:7">
      <c r="A226">
        <v>1988</v>
      </c>
      <c r="B226" t="s">
        <v>310</v>
      </c>
      <c r="C226" t="s">
        <v>18</v>
      </c>
      <c r="D226" s="2">
        <v>0.1245</v>
      </c>
      <c r="E226">
        <v>0.1125</v>
      </c>
      <c r="F226">
        <v>0.11700000000000001</v>
      </c>
      <c r="G226" s="2">
        <f t="shared" si="3"/>
        <v>0.35399999999999998</v>
      </c>
    </row>
    <row r="227" spans="1:7">
      <c r="A227">
        <v>1988</v>
      </c>
      <c r="B227" t="s">
        <v>310</v>
      </c>
      <c r="C227" t="s">
        <v>18</v>
      </c>
      <c r="D227" s="2">
        <v>0.13</v>
      </c>
      <c r="E227">
        <v>0.12</v>
      </c>
      <c r="F227">
        <v>0.125</v>
      </c>
      <c r="G227" s="2">
        <f t="shared" si="3"/>
        <v>0.375</v>
      </c>
    </row>
    <row r="228" spans="1:7">
      <c r="A228">
        <v>1988</v>
      </c>
      <c r="B228" t="s">
        <v>310</v>
      </c>
      <c r="C228" t="s">
        <v>55</v>
      </c>
      <c r="D228" s="2">
        <v>0.125</v>
      </c>
      <c r="E228">
        <v>0.115</v>
      </c>
      <c r="F228">
        <v>0.115</v>
      </c>
      <c r="G228" s="2">
        <f t="shared" si="3"/>
        <v>0.35499999999999998</v>
      </c>
    </row>
    <row r="229" spans="1:7">
      <c r="A229">
        <v>1988</v>
      </c>
      <c r="B229" t="s">
        <v>310</v>
      </c>
      <c r="C229" t="s">
        <v>25</v>
      </c>
      <c r="D229" s="2">
        <v>0.14000000000000001</v>
      </c>
      <c r="E229">
        <v>0.13</v>
      </c>
      <c r="F229">
        <v>0.13500000000000001</v>
      </c>
      <c r="G229" s="2">
        <f t="shared" si="3"/>
        <v>0.40500000000000003</v>
      </c>
    </row>
    <row r="230" spans="1:7">
      <c r="A230">
        <v>1988</v>
      </c>
      <c r="B230" t="s">
        <v>310</v>
      </c>
      <c r="C230" t="s">
        <v>28</v>
      </c>
      <c r="D230" s="2">
        <v>0.1283</v>
      </c>
      <c r="E230">
        <v>0.1183</v>
      </c>
      <c r="F230">
        <v>0.1183</v>
      </c>
      <c r="G230" s="2">
        <f t="shared" si="3"/>
        <v>0.3649</v>
      </c>
    </row>
    <row r="231" spans="1:7">
      <c r="A231">
        <v>1988</v>
      </c>
      <c r="B231" t="s">
        <v>310</v>
      </c>
      <c r="C231" t="s">
        <v>15</v>
      </c>
      <c r="D231" s="2">
        <v>0.13500000000000001</v>
      </c>
      <c r="E231">
        <v>0.126</v>
      </c>
      <c r="F231">
        <v>0.13400000000000001</v>
      </c>
      <c r="G231" s="2">
        <f t="shared" si="3"/>
        <v>0.39500000000000002</v>
      </c>
    </row>
    <row r="232" spans="1:7">
      <c r="A232">
        <v>1988</v>
      </c>
      <c r="B232" t="s">
        <v>310</v>
      </c>
      <c r="C232" t="s">
        <v>18</v>
      </c>
      <c r="D232" s="2">
        <v>0.125</v>
      </c>
      <c r="E232">
        <v>0.115</v>
      </c>
      <c r="F232">
        <v>0.114</v>
      </c>
      <c r="G232" s="2">
        <f t="shared" si="3"/>
        <v>0.35399999999999998</v>
      </c>
    </row>
    <row r="233" spans="1:7">
      <c r="A233">
        <v>1988</v>
      </c>
      <c r="B233" t="s">
        <v>310</v>
      </c>
      <c r="C233" t="s">
        <v>28</v>
      </c>
      <c r="D233" s="2">
        <v>0.11700000000000001</v>
      </c>
      <c r="E233">
        <v>0.11</v>
      </c>
      <c r="F233">
        <v>0.1085</v>
      </c>
      <c r="G233" s="2">
        <f t="shared" si="3"/>
        <v>0.33550000000000002</v>
      </c>
    </row>
    <row r="234" spans="1:7">
      <c r="A234">
        <v>1988</v>
      </c>
      <c r="B234" t="s">
        <v>310</v>
      </c>
      <c r="C234" t="s">
        <v>18</v>
      </c>
      <c r="D234" s="2" t="s">
        <v>345</v>
      </c>
      <c r="E234">
        <v>0.12</v>
      </c>
      <c r="F234">
        <v>0.12</v>
      </c>
      <c r="G234" s="2">
        <f t="shared" si="3"/>
        <v>0.24</v>
      </c>
    </row>
    <row r="235" spans="1:7">
      <c r="A235">
        <v>1988</v>
      </c>
      <c r="B235" t="s">
        <v>310</v>
      </c>
      <c r="C235" t="s">
        <v>15</v>
      </c>
      <c r="D235" s="2">
        <v>0.13100000000000001</v>
      </c>
      <c r="E235">
        <v>0.124</v>
      </c>
      <c r="F235">
        <v>0.1265</v>
      </c>
      <c r="G235" s="2">
        <f t="shared" si="3"/>
        <v>0.38150000000000001</v>
      </c>
    </row>
    <row r="236" spans="1:7">
      <c r="A236">
        <v>1988</v>
      </c>
      <c r="B236" t="s">
        <v>310</v>
      </c>
      <c r="C236" t="s">
        <v>25</v>
      </c>
      <c r="D236" s="2">
        <v>0.13250000000000001</v>
      </c>
      <c r="E236">
        <v>0.1255</v>
      </c>
      <c r="F236">
        <v>0.128</v>
      </c>
      <c r="G236" s="2">
        <f t="shared" si="3"/>
        <v>0.38600000000000001</v>
      </c>
    </row>
    <row r="237" spans="1:7">
      <c r="A237">
        <v>1988</v>
      </c>
      <c r="B237" t="s">
        <v>310</v>
      </c>
      <c r="C237" t="s">
        <v>15</v>
      </c>
      <c r="D237" s="2">
        <v>0.11799999999999999</v>
      </c>
      <c r="E237">
        <v>0.108</v>
      </c>
      <c r="F237">
        <v>0.113</v>
      </c>
      <c r="G237" s="2">
        <f t="shared" si="3"/>
        <v>0.33900000000000002</v>
      </c>
    </row>
    <row r="238" spans="1:7">
      <c r="A238">
        <v>1988</v>
      </c>
      <c r="B238" t="s">
        <v>310</v>
      </c>
      <c r="C238" t="s">
        <v>28</v>
      </c>
      <c r="D238" s="2">
        <v>0.11849999999999999</v>
      </c>
      <c r="E238" t="s">
        <v>16</v>
      </c>
      <c r="F238">
        <v>0.112</v>
      </c>
      <c r="G238" s="2">
        <f t="shared" si="3"/>
        <v>0.23050000000000001</v>
      </c>
    </row>
    <row r="239" spans="1:7">
      <c r="A239">
        <v>1988</v>
      </c>
      <c r="B239" t="s">
        <v>310</v>
      </c>
      <c r="C239" t="s">
        <v>18</v>
      </c>
      <c r="D239" s="2">
        <v>0.125</v>
      </c>
      <c r="E239">
        <v>0.115</v>
      </c>
      <c r="F239">
        <v>0.1145</v>
      </c>
      <c r="G239" s="2">
        <f t="shared" si="3"/>
        <v>0.35449999999999998</v>
      </c>
    </row>
    <row r="240" spans="1:7">
      <c r="A240">
        <v>1988</v>
      </c>
      <c r="B240" t="s">
        <v>310</v>
      </c>
      <c r="C240" t="s">
        <v>103</v>
      </c>
      <c r="D240" s="2">
        <v>0.13800000000000001</v>
      </c>
      <c r="E240">
        <v>0.125</v>
      </c>
      <c r="F240">
        <v>0.129</v>
      </c>
      <c r="G240" s="2">
        <f t="shared" si="3"/>
        <v>0.39200000000000002</v>
      </c>
    </row>
    <row r="241" spans="1:7">
      <c r="A241">
        <v>1988</v>
      </c>
      <c r="B241" t="s">
        <v>310</v>
      </c>
      <c r="C241" t="s">
        <v>15</v>
      </c>
      <c r="D241" s="2">
        <v>0.122</v>
      </c>
      <c r="E241">
        <v>0.112</v>
      </c>
      <c r="F241">
        <v>0.112</v>
      </c>
      <c r="G241" s="2">
        <f t="shared" si="3"/>
        <v>0.34599999999999997</v>
      </c>
    </row>
    <row r="242" spans="1:7">
      <c r="A242">
        <v>1988</v>
      </c>
      <c r="B242" t="s">
        <v>310</v>
      </c>
      <c r="C242" t="s">
        <v>25</v>
      </c>
      <c r="D242" s="2">
        <v>0.14000000000000001</v>
      </c>
      <c r="E242" t="s">
        <v>16</v>
      </c>
      <c r="F242" t="s">
        <v>16</v>
      </c>
      <c r="G242" s="2">
        <f t="shared" si="3"/>
        <v>0.14000000000000001</v>
      </c>
    </row>
    <row r="243" spans="1:7">
      <c r="A243">
        <v>1988</v>
      </c>
      <c r="B243" t="s">
        <v>310</v>
      </c>
      <c r="C243" t="s">
        <v>25</v>
      </c>
      <c r="D243" s="2">
        <v>0.14000000000000001</v>
      </c>
      <c r="E243">
        <v>0.13300000000000001</v>
      </c>
      <c r="F243">
        <v>0.13800000000000001</v>
      </c>
      <c r="G243" s="2">
        <f t="shared" si="3"/>
        <v>0.41099999999999998</v>
      </c>
    </row>
    <row r="244" spans="1:7">
      <c r="A244">
        <v>1988</v>
      </c>
      <c r="B244" t="s">
        <v>310</v>
      </c>
      <c r="C244" t="s">
        <v>43</v>
      </c>
      <c r="D244" s="2">
        <v>0.12</v>
      </c>
      <c r="E244">
        <v>0.11</v>
      </c>
      <c r="F244">
        <v>0.115</v>
      </c>
      <c r="G244" s="2">
        <f t="shared" si="3"/>
        <v>0.34499999999999997</v>
      </c>
    </row>
    <row r="245" spans="1:7">
      <c r="A245">
        <v>1988</v>
      </c>
      <c r="B245" t="s">
        <v>310</v>
      </c>
      <c r="C245" t="s">
        <v>31</v>
      </c>
      <c r="D245" s="2">
        <v>0.125</v>
      </c>
      <c r="E245">
        <v>0.115</v>
      </c>
      <c r="F245">
        <v>0.115</v>
      </c>
      <c r="G245" s="2">
        <f t="shared" si="3"/>
        <v>0.35499999999999998</v>
      </c>
    </row>
    <row r="246" spans="1:7">
      <c r="A246">
        <v>1988</v>
      </c>
      <c r="B246" t="s">
        <v>310</v>
      </c>
      <c r="C246" t="s">
        <v>28</v>
      </c>
      <c r="D246" s="2">
        <v>0.111</v>
      </c>
      <c r="E246">
        <v>0.1027</v>
      </c>
      <c r="F246">
        <v>0.10349999999999999</v>
      </c>
      <c r="G246" s="2">
        <f t="shared" si="3"/>
        <v>0.31719999999999998</v>
      </c>
    </row>
    <row r="247" spans="1:7">
      <c r="A247">
        <v>1988</v>
      </c>
      <c r="B247" t="s">
        <v>310</v>
      </c>
      <c r="C247" t="s">
        <v>28</v>
      </c>
      <c r="D247" s="2">
        <v>0.11749999999999999</v>
      </c>
      <c r="E247">
        <v>0.109</v>
      </c>
      <c r="F247">
        <v>0.11</v>
      </c>
      <c r="G247" s="2">
        <f t="shared" si="3"/>
        <v>0.33650000000000002</v>
      </c>
    </row>
    <row r="248" spans="1:7">
      <c r="A248">
        <v>1988</v>
      </c>
      <c r="B248" t="s">
        <v>310</v>
      </c>
      <c r="C248" t="s">
        <v>55</v>
      </c>
      <c r="D248" s="2">
        <v>0.1295</v>
      </c>
      <c r="E248">
        <v>0.11700000000000001</v>
      </c>
      <c r="F248">
        <v>0.11700000000000001</v>
      </c>
      <c r="G248" s="2">
        <f t="shared" si="3"/>
        <v>0.36349999999999999</v>
      </c>
    </row>
    <row r="249" spans="1:7">
      <c r="A249">
        <v>1988</v>
      </c>
      <c r="B249" t="s">
        <v>310</v>
      </c>
      <c r="C249" t="s">
        <v>28</v>
      </c>
      <c r="D249" s="2">
        <v>0.1195</v>
      </c>
      <c r="E249">
        <v>0.1115</v>
      </c>
      <c r="F249">
        <v>0.112</v>
      </c>
      <c r="G249" s="2">
        <f t="shared" si="3"/>
        <v>0.34300000000000003</v>
      </c>
    </row>
    <row r="250" spans="1:7">
      <c r="A250">
        <v>1988</v>
      </c>
      <c r="B250" t="s">
        <v>310</v>
      </c>
      <c r="C250" t="s">
        <v>18</v>
      </c>
      <c r="D250" s="2">
        <v>0.11650000000000001</v>
      </c>
      <c r="E250">
        <v>0.1095</v>
      </c>
      <c r="F250">
        <v>0.1075</v>
      </c>
      <c r="G250" s="2">
        <f t="shared" si="3"/>
        <v>0.33350000000000002</v>
      </c>
    </row>
    <row r="251" spans="1:7">
      <c r="A251">
        <v>1988</v>
      </c>
      <c r="B251" t="s">
        <v>310</v>
      </c>
      <c r="C251" t="s">
        <v>31</v>
      </c>
      <c r="D251" s="2">
        <v>0.159</v>
      </c>
      <c r="E251">
        <v>0.159</v>
      </c>
      <c r="F251">
        <v>0.159</v>
      </c>
      <c r="G251" s="2">
        <f t="shared" si="3"/>
        <v>0.47699999999999998</v>
      </c>
    </row>
    <row r="252" spans="1:7">
      <c r="A252">
        <v>1988</v>
      </c>
      <c r="B252" t="s">
        <v>310</v>
      </c>
      <c r="C252" t="s">
        <v>18</v>
      </c>
      <c r="D252" s="2">
        <v>0.125</v>
      </c>
      <c r="E252">
        <v>0.115</v>
      </c>
      <c r="F252">
        <v>0.115</v>
      </c>
      <c r="G252" s="2">
        <f t="shared" si="3"/>
        <v>0.35499999999999998</v>
      </c>
    </row>
    <row r="253" spans="1:7">
      <c r="A253">
        <v>1988</v>
      </c>
      <c r="B253" t="s">
        <v>310</v>
      </c>
      <c r="C253" t="s">
        <v>31</v>
      </c>
      <c r="D253" s="2">
        <v>0.159</v>
      </c>
      <c r="E253">
        <v>0.159</v>
      </c>
      <c r="F253">
        <v>0.159</v>
      </c>
      <c r="G253" s="2">
        <f t="shared" si="3"/>
        <v>0.47699999999999998</v>
      </c>
    </row>
    <row r="254" spans="1:7">
      <c r="A254">
        <v>1988</v>
      </c>
      <c r="B254" t="s">
        <v>310</v>
      </c>
      <c r="C254" t="s">
        <v>31</v>
      </c>
      <c r="D254" s="2">
        <v>0.14799999999999999</v>
      </c>
      <c r="E254">
        <v>0.13750000000000001</v>
      </c>
      <c r="F254">
        <v>0.14249999999999999</v>
      </c>
      <c r="G254" s="2">
        <f t="shared" si="3"/>
        <v>0.42799999999999999</v>
      </c>
    </row>
    <row r="255" spans="1:7">
      <c r="A255">
        <v>1988</v>
      </c>
      <c r="B255" t="s">
        <v>310</v>
      </c>
      <c r="C255" t="s">
        <v>248</v>
      </c>
      <c r="D255" s="2">
        <v>0.1215</v>
      </c>
      <c r="E255">
        <v>0.1085</v>
      </c>
      <c r="F255">
        <v>0.1085</v>
      </c>
      <c r="G255" s="2">
        <f t="shared" si="3"/>
        <v>0.33850000000000002</v>
      </c>
    </row>
    <row r="256" spans="1:7">
      <c r="A256">
        <v>1988</v>
      </c>
      <c r="B256" t="s">
        <v>310</v>
      </c>
      <c r="C256" t="s">
        <v>55</v>
      </c>
      <c r="D256" s="2">
        <v>0.122</v>
      </c>
      <c r="E256">
        <v>0.112</v>
      </c>
      <c r="F256">
        <v>0.112</v>
      </c>
      <c r="G256" s="2">
        <f t="shared" si="3"/>
        <v>0.34599999999999997</v>
      </c>
    </row>
    <row r="257" spans="1:7">
      <c r="A257">
        <v>1988</v>
      </c>
      <c r="B257" t="s">
        <v>310</v>
      </c>
      <c r="C257" t="s">
        <v>28</v>
      </c>
      <c r="D257" s="2">
        <v>0.12</v>
      </c>
      <c r="E257">
        <v>0.1145</v>
      </c>
      <c r="F257">
        <v>0.1145</v>
      </c>
      <c r="G257" s="2">
        <f t="shared" si="3"/>
        <v>0.34899999999999998</v>
      </c>
    </row>
    <row r="258" spans="1:7">
      <c r="A258">
        <v>1988</v>
      </c>
      <c r="B258" t="s">
        <v>310</v>
      </c>
      <c r="C258" t="s">
        <v>31</v>
      </c>
      <c r="D258" s="2">
        <v>0.1225</v>
      </c>
      <c r="E258">
        <v>0.111</v>
      </c>
      <c r="F258">
        <v>0.109</v>
      </c>
      <c r="G258" s="2">
        <f t="shared" si="3"/>
        <v>0.34250000000000003</v>
      </c>
    </row>
    <row r="259" spans="1:7">
      <c r="A259">
        <v>1988</v>
      </c>
      <c r="B259" t="s">
        <v>310</v>
      </c>
      <c r="C259" t="s">
        <v>18</v>
      </c>
      <c r="D259" s="2">
        <v>0.11650000000000001</v>
      </c>
      <c r="E259">
        <v>0.109</v>
      </c>
      <c r="F259">
        <v>0.109</v>
      </c>
      <c r="G259" s="2">
        <f t="shared" ref="G259:G322" si="4">SUM(D259:F259)</f>
        <v>0.33450000000000002</v>
      </c>
    </row>
    <row r="260" spans="1:7">
      <c r="A260">
        <v>1988</v>
      </c>
      <c r="B260" t="s">
        <v>310</v>
      </c>
      <c r="C260" t="s">
        <v>248</v>
      </c>
      <c r="D260" s="2">
        <v>0.13500000000000001</v>
      </c>
      <c r="E260">
        <v>0.106</v>
      </c>
      <c r="F260">
        <v>0.1055</v>
      </c>
      <c r="G260" s="2">
        <f t="shared" si="4"/>
        <v>0.34649999999999997</v>
      </c>
    </row>
    <row r="261" spans="1:7">
      <c r="A261">
        <v>1988</v>
      </c>
      <c r="B261" t="s">
        <v>310</v>
      </c>
      <c r="C261" t="s">
        <v>31</v>
      </c>
      <c r="D261" s="2">
        <v>0.1225</v>
      </c>
      <c r="E261">
        <v>0.111</v>
      </c>
      <c r="F261">
        <v>0.109</v>
      </c>
      <c r="G261" s="2">
        <f t="shared" si="4"/>
        <v>0.34250000000000003</v>
      </c>
    </row>
    <row r="262" spans="1:7">
      <c r="A262">
        <v>1988</v>
      </c>
      <c r="B262" t="s">
        <v>310</v>
      </c>
      <c r="C262" t="s">
        <v>132</v>
      </c>
      <c r="D262" s="2">
        <v>0.11700000000000001</v>
      </c>
      <c r="E262">
        <v>0.11</v>
      </c>
      <c r="F262">
        <v>0.11</v>
      </c>
      <c r="G262" s="2">
        <f t="shared" si="4"/>
        <v>0.33700000000000002</v>
      </c>
    </row>
    <row r="263" spans="1:7">
      <c r="A263">
        <v>1988</v>
      </c>
      <c r="B263" t="s">
        <v>298</v>
      </c>
      <c r="C263" t="s">
        <v>15</v>
      </c>
      <c r="D263" s="2">
        <v>0.15</v>
      </c>
      <c r="E263">
        <v>0.14000000000000001</v>
      </c>
      <c r="F263">
        <v>0.14499999999999999</v>
      </c>
      <c r="G263" s="2">
        <f t="shared" si="4"/>
        <v>0.435</v>
      </c>
    </row>
    <row r="264" spans="1:7">
      <c r="A264">
        <v>1988</v>
      </c>
      <c r="B264" t="s">
        <v>298</v>
      </c>
      <c r="C264" t="s">
        <v>18</v>
      </c>
      <c r="D264" s="2">
        <v>0.1525</v>
      </c>
      <c r="E264">
        <v>0.1525</v>
      </c>
      <c r="F264" t="s">
        <v>16</v>
      </c>
      <c r="G264" s="2">
        <f t="shared" si="4"/>
        <v>0.30499999999999999</v>
      </c>
    </row>
    <row r="265" spans="1:7">
      <c r="A265">
        <v>1988</v>
      </c>
      <c r="B265" t="s">
        <v>298</v>
      </c>
      <c r="C265" t="s">
        <v>15</v>
      </c>
      <c r="D265" s="2">
        <v>0.14580000000000001</v>
      </c>
      <c r="E265">
        <v>0.14580000000000001</v>
      </c>
      <c r="F265">
        <v>0.14580000000000001</v>
      </c>
      <c r="G265" s="2">
        <f t="shared" si="4"/>
        <v>0.43740000000000001</v>
      </c>
    </row>
    <row r="266" spans="1:7">
      <c r="A266">
        <v>1988</v>
      </c>
      <c r="B266" t="s">
        <v>298</v>
      </c>
      <c r="C266" t="s">
        <v>15</v>
      </c>
      <c r="D266" s="2" t="s">
        <v>345</v>
      </c>
      <c r="E266">
        <v>0.14299999999999999</v>
      </c>
      <c r="F266">
        <v>0.14549999999999999</v>
      </c>
      <c r="G266" s="2">
        <f t="shared" si="4"/>
        <v>0.28849999999999998</v>
      </c>
    </row>
    <row r="267" spans="1:7">
      <c r="A267">
        <v>1988</v>
      </c>
      <c r="B267" t="s">
        <v>298</v>
      </c>
      <c r="C267" t="s">
        <v>18</v>
      </c>
      <c r="D267" s="2">
        <v>0.154</v>
      </c>
      <c r="E267">
        <v>0.14449999999999999</v>
      </c>
      <c r="F267">
        <v>0.14449999999999999</v>
      </c>
      <c r="G267" s="2">
        <f t="shared" si="4"/>
        <v>0.443</v>
      </c>
    </row>
    <row r="268" spans="1:7">
      <c r="A268">
        <v>1988</v>
      </c>
      <c r="B268" t="s">
        <v>298</v>
      </c>
      <c r="C268" t="s">
        <v>18</v>
      </c>
      <c r="D268" s="2">
        <v>0.15049999999999999</v>
      </c>
      <c r="E268">
        <v>0.14050000000000001</v>
      </c>
      <c r="F268" t="s">
        <v>16</v>
      </c>
      <c r="G268" s="2">
        <f t="shared" si="4"/>
        <v>0.29099999999999998</v>
      </c>
    </row>
    <row r="269" spans="1:7">
      <c r="A269">
        <v>1988</v>
      </c>
      <c r="B269" t="s">
        <v>298</v>
      </c>
      <c r="C269" t="s">
        <v>15</v>
      </c>
      <c r="D269" s="2">
        <v>0.155</v>
      </c>
      <c r="E269">
        <v>0.14499999999999999</v>
      </c>
      <c r="F269" t="s">
        <v>16</v>
      </c>
      <c r="G269" s="2">
        <f t="shared" si="4"/>
        <v>0.3</v>
      </c>
    </row>
    <row r="270" spans="1:7">
      <c r="A270">
        <v>1988</v>
      </c>
      <c r="B270" t="s">
        <v>298</v>
      </c>
      <c r="C270" t="s">
        <v>18</v>
      </c>
      <c r="D270" s="2">
        <v>0.155</v>
      </c>
      <c r="E270">
        <v>0.14499999999999999</v>
      </c>
      <c r="F270">
        <v>0.14899999999999999</v>
      </c>
      <c r="G270" s="2">
        <f t="shared" si="4"/>
        <v>0.44900000000000001</v>
      </c>
    </row>
    <row r="271" spans="1:7">
      <c r="A271">
        <v>1988</v>
      </c>
      <c r="B271" t="s">
        <v>298</v>
      </c>
      <c r="C271" t="s">
        <v>18</v>
      </c>
      <c r="D271" s="2">
        <v>0.1555</v>
      </c>
      <c r="E271">
        <v>0.1555</v>
      </c>
      <c r="F271">
        <v>0.1555</v>
      </c>
      <c r="G271" s="2">
        <f t="shared" si="4"/>
        <v>0.46650000000000003</v>
      </c>
    </row>
    <row r="272" spans="1:7">
      <c r="A272">
        <v>1988</v>
      </c>
      <c r="B272" t="s">
        <v>298</v>
      </c>
      <c r="C272" t="s">
        <v>18</v>
      </c>
      <c r="D272" s="2">
        <v>0.155</v>
      </c>
      <c r="E272">
        <v>0.14749999999999999</v>
      </c>
      <c r="F272" t="s">
        <v>16</v>
      </c>
      <c r="G272" s="2">
        <f t="shared" si="4"/>
        <v>0.30249999999999999</v>
      </c>
    </row>
    <row r="273" spans="1:7">
      <c r="A273">
        <v>1988</v>
      </c>
      <c r="B273" t="s">
        <v>298</v>
      </c>
      <c r="C273" t="s">
        <v>18</v>
      </c>
      <c r="D273" s="2">
        <v>0.13900000000000001</v>
      </c>
      <c r="E273">
        <v>0.13</v>
      </c>
      <c r="F273">
        <v>0.14000000000000001</v>
      </c>
      <c r="G273" s="2">
        <f t="shared" si="4"/>
        <v>0.40899999999999997</v>
      </c>
    </row>
    <row r="274" spans="1:7">
      <c r="A274">
        <v>1988</v>
      </c>
      <c r="B274" t="s">
        <v>298</v>
      </c>
      <c r="C274" t="s">
        <v>18</v>
      </c>
      <c r="D274" s="2">
        <v>0.155</v>
      </c>
      <c r="E274">
        <v>0.14499999999999999</v>
      </c>
      <c r="F274">
        <v>0.14899999999999999</v>
      </c>
      <c r="G274" s="2">
        <f t="shared" si="4"/>
        <v>0.44900000000000001</v>
      </c>
    </row>
    <row r="275" spans="1:7">
      <c r="A275">
        <v>1988</v>
      </c>
      <c r="B275" t="s">
        <v>298</v>
      </c>
      <c r="C275" t="s">
        <v>15</v>
      </c>
      <c r="D275" s="2">
        <v>0.14829999999999999</v>
      </c>
      <c r="E275">
        <v>0.14829999999999999</v>
      </c>
      <c r="F275">
        <v>0.14829999999999999</v>
      </c>
      <c r="G275" s="2">
        <f t="shared" si="4"/>
        <v>0.44490000000000002</v>
      </c>
    </row>
    <row r="276" spans="1:7">
      <c r="A276">
        <v>1989</v>
      </c>
      <c r="B276" t="s">
        <v>310</v>
      </c>
      <c r="C276" t="s">
        <v>43</v>
      </c>
      <c r="D276" s="2">
        <v>0.125</v>
      </c>
      <c r="E276">
        <v>0.115</v>
      </c>
      <c r="F276">
        <v>0.12</v>
      </c>
      <c r="G276" s="2">
        <f t="shared" si="4"/>
        <v>0.36</v>
      </c>
    </row>
    <row r="277" spans="1:7">
      <c r="A277">
        <v>1989</v>
      </c>
      <c r="B277" t="s">
        <v>310</v>
      </c>
      <c r="C277" t="s">
        <v>112</v>
      </c>
      <c r="D277" s="2">
        <v>0.1225</v>
      </c>
      <c r="E277">
        <v>0.112</v>
      </c>
      <c r="F277">
        <v>0.115</v>
      </c>
      <c r="G277" s="2">
        <f t="shared" si="4"/>
        <v>0.34949999999999998</v>
      </c>
    </row>
    <row r="278" spans="1:7">
      <c r="A278">
        <v>1989</v>
      </c>
      <c r="B278" t="s">
        <v>310</v>
      </c>
      <c r="C278" t="s">
        <v>18</v>
      </c>
      <c r="D278" s="2">
        <v>0.125</v>
      </c>
      <c r="E278">
        <v>0.12</v>
      </c>
      <c r="F278">
        <v>0.125</v>
      </c>
      <c r="G278" s="2">
        <f t="shared" si="4"/>
        <v>0.37</v>
      </c>
    </row>
    <row r="279" spans="1:7">
      <c r="A279">
        <v>1989</v>
      </c>
      <c r="B279" t="s">
        <v>310</v>
      </c>
      <c r="C279" t="s">
        <v>15</v>
      </c>
      <c r="D279" s="2">
        <v>0.13250000000000001</v>
      </c>
      <c r="E279">
        <v>0.1225</v>
      </c>
      <c r="F279">
        <v>0.1275</v>
      </c>
      <c r="G279" s="2">
        <f t="shared" si="4"/>
        <v>0.38250000000000001</v>
      </c>
    </row>
    <row r="280" spans="1:7">
      <c r="A280">
        <v>1989</v>
      </c>
      <c r="B280" t="s">
        <v>310</v>
      </c>
      <c r="C280" t="s">
        <v>15</v>
      </c>
      <c r="D280" s="2">
        <v>0.12909999999999999</v>
      </c>
      <c r="E280">
        <v>0.11799999999999999</v>
      </c>
      <c r="F280">
        <v>0.1234</v>
      </c>
      <c r="G280" s="2">
        <f t="shared" si="4"/>
        <v>0.3705</v>
      </c>
    </row>
    <row r="281" spans="1:7">
      <c r="A281">
        <v>1989</v>
      </c>
      <c r="B281" t="s">
        <v>310</v>
      </c>
      <c r="C281" t="s">
        <v>15</v>
      </c>
      <c r="D281" s="2">
        <v>0.13250000000000001</v>
      </c>
      <c r="E281">
        <v>0.1255</v>
      </c>
      <c r="F281">
        <v>0.1305</v>
      </c>
      <c r="G281" s="2">
        <f t="shared" si="4"/>
        <v>0.38850000000000001</v>
      </c>
    </row>
    <row r="282" spans="1:7">
      <c r="A282">
        <v>1989</v>
      </c>
      <c r="B282" t="s">
        <v>310</v>
      </c>
      <c r="C282" t="s">
        <v>55</v>
      </c>
      <c r="D282" s="2">
        <v>0.13639999999999999</v>
      </c>
      <c r="E282">
        <v>0.1275</v>
      </c>
      <c r="F282">
        <v>0.12540000000000001</v>
      </c>
      <c r="G282" s="2">
        <f t="shared" si="4"/>
        <v>0.38929999999999998</v>
      </c>
    </row>
    <row r="283" spans="1:7">
      <c r="A283">
        <v>1989</v>
      </c>
      <c r="B283" t="s">
        <v>310</v>
      </c>
      <c r="C283" t="s">
        <v>15</v>
      </c>
      <c r="D283" s="2">
        <v>0.14000000000000001</v>
      </c>
      <c r="E283" t="s">
        <v>16</v>
      </c>
      <c r="F283" t="s">
        <v>16</v>
      </c>
      <c r="G283" s="2">
        <f t="shared" si="4"/>
        <v>0.14000000000000001</v>
      </c>
    </row>
    <row r="284" spans="1:7">
      <c r="A284">
        <v>1989</v>
      </c>
      <c r="B284" t="s">
        <v>310</v>
      </c>
      <c r="C284" t="s">
        <v>43</v>
      </c>
      <c r="D284" s="2">
        <v>0.1225</v>
      </c>
      <c r="E284">
        <v>0.112</v>
      </c>
      <c r="F284">
        <v>0.115</v>
      </c>
      <c r="G284" s="2">
        <f t="shared" si="4"/>
        <v>0.34949999999999998</v>
      </c>
    </row>
    <row r="285" spans="1:7">
      <c r="A285">
        <v>1989</v>
      </c>
      <c r="B285" t="s">
        <v>310</v>
      </c>
      <c r="C285" t="s">
        <v>28</v>
      </c>
      <c r="D285" s="2">
        <v>0.12740000000000001</v>
      </c>
      <c r="E285">
        <v>0.11650000000000001</v>
      </c>
      <c r="F285">
        <v>0.11650000000000001</v>
      </c>
      <c r="G285" s="2">
        <f t="shared" si="4"/>
        <v>0.3604</v>
      </c>
    </row>
    <row r="286" spans="1:7">
      <c r="A286">
        <v>1989</v>
      </c>
      <c r="B286" t="s">
        <v>310</v>
      </c>
      <c r="C286" t="s">
        <v>15</v>
      </c>
      <c r="D286" s="2">
        <v>0.13250000000000001</v>
      </c>
      <c r="E286">
        <v>0.1225</v>
      </c>
      <c r="F286">
        <v>0.1275</v>
      </c>
      <c r="G286" s="2">
        <f t="shared" si="4"/>
        <v>0.38250000000000001</v>
      </c>
    </row>
    <row r="287" spans="1:7">
      <c r="A287">
        <v>1989</v>
      </c>
      <c r="B287" t="s">
        <v>310</v>
      </c>
      <c r="C287" t="s">
        <v>15</v>
      </c>
      <c r="D287" s="2">
        <v>0.1275</v>
      </c>
      <c r="E287">
        <v>0.11600000000000001</v>
      </c>
      <c r="F287">
        <v>0.115</v>
      </c>
      <c r="G287" s="2">
        <f t="shared" si="4"/>
        <v>0.35849999999999999</v>
      </c>
    </row>
    <row r="288" spans="1:7">
      <c r="A288">
        <v>1989</v>
      </c>
      <c r="B288" t="s">
        <v>310</v>
      </c>
      <c r="C288" t="s">
        <v>28</v>
      </c>
      <c r="D288" s="2">
        <v>0.12690000000000001</v>
      </c>
      <c r="E288" t="s">
        <v>16</v>
      </c>
      <c r="F288">
        <v>0.1157</v>
      </c>
      <c r="G288" s="2">
        <f t="shared" si="4"/>
        <v>0.24260000000000001</v>
      </c>
    </row>
    <row r="289" spans="1:7">
      <c r="A289">
        <v>1989</v>
      </c>
      <c r="B289" t="s">
        <v>310</v>
      </c>
      <c r="C289" t="s">
        <v>31</v>
      </c>
      <c r="D289" s="2">
        <v>0.12239999999999999</v>
      </c>
      <c r="E289">
        <v>0.1124</v>
      </c>
      <c r="F289">
        <v>0.1124</v>
      </c>
      <c r="G289" s="2">
        <f t="shared" si="4"/>
        <v>0.34720000000000001</v>
      </c>
    </row>
    <row r="290" spans="1:7">
      <c r="A290">
        <v>1989</v>
      </c>
      <c r="B290" t="s">
        <v>310</v>
      </c>
      <c r="C290" t="s">
        <v>103</v>
      </c>
      <c r="D290" s="2">
        <v>0.13800000000000001</v>
      </c>
      <c r="E290">
        <v>0.129</v>
      </c>
      <c r="F290">
        <v>0.13600000000000001</v>
      </c>
      <c r="G290" s="2">
        <f t="shared" si="4"/>
        <v>0.40300000000000002</v>
      </c>
    </row>
    <row r="291" spans="1:7">
      <c r="A291">
        <v>1989</v>
      </c>
      <c r="B291" t="s">
        <v>310</v>
      </c>
      <c r="C291" t="s">
        <v>15</v>
      </c>
      <c r="D291" s="2">
        <v>0.128</v>
      </c>
      <c r="E291">
        <v>0.11899999999999999</v>
      </c>
      <c r="F291">
        <v>0.11700000000000001</v>
      </c>
      <c r="G291" s="2">
        <f t="shared" si="4"/>
        <v>0.36399999999999999</v>
      </c>
    </row>
    <row r="292" spans="1:7">
      <c r="A292">
        <v>1989</v>
      </c>
      <c r="B292" t="s">
        <v>310</v>
      </c>
      <c r="C292" t="s">
        <v>18</v>
      </c>
      <c r="D292" s="2">
        <v>0.129</v>
      </c>
      <c r="E292">
        <v>0.11799999999999999</v>
      </c>
      <c r="F292">
        <v>0.11899999999999999</v>
      </c>
      <c r="G292" s="2">
        <f t="shared" si="4"/>
        <v>0.36599999999999999</v>
      </c>
    </row>
    <row r="293" spans="1:7">
      <c r="A293">
        <v>1989</v>
      </c>
      <c r="B293" t="s">
        <v>310</v>
      </c>
      <c r="C293" t="s">
        <v>15</v>
      </c>
      <c r="D293" s="2">
        <v>0.14000000000000001</v>
      </c>
      <c r="E293">
        <v>0.13</v>
      </c>
      <c r="F293">
        <v>0.13500000000000001</v>
      </c>
      <c r="G293" s="2">
        <f t="shared" si="4"/>
        <v>0.40500000000000003</v>
      </c>
    </row>
    <row r="294" spans="1:7">
      <c r="A294">
        <v>1989</v>
      </c>
      <c r="B294" t="s">
        <v>310</v>
      </c>
      <c r="C294" t="s">
        <v>43</v>
      </c>
      <c r="D294" s="2">
        <v>0.12</v>
      </c>
      <c r="E294">
        <v>0.11</v>
      </c>
      <c r="F294">
        <v>0.113</v>
      </c>
      <c r="G294" s="2">
        <f t="shared" si="4"/>
        <v>0.34300000000000003</v>
      </c>
    </row>
    <row r="295" spans="1:7">
      <c r="A295">
        <v>1989</v>
      </c>
      <c r="B295" t="s">
        <v>310</v>
      </c>
      <c r="C295" t="s">
        <v>18</v>
      </c>
      <c r="D295" s="2">
        <v>0.129</v>
      </c>
      <c r="E295">
        <v>0.129</v>
      </c>
      <c r="F295">
        <v>0.129</v>
      </c>
      <c r="G295" s="2">
        <f t="shared" si="4"/>
        <v>0.38700000000000001</v>
      </c>
    </row>
    <row r="296" spans="1:7">
      <c r="A296">
        <v>1989</v>
      </c>
      <c r="B296" t="s">
        <v>310</v>
      </c>
      <c r="C296" t="s">
        <v>55</v>
      </c>
      <c r="D296" s="2">
        <v>0.12239999999999999</v>
      </c>
      <c r="E296">
        <v>0.1124</v>
      </c>
      <c r="F296">
        <v>0.1124</v>
      </c>
      <c r="G296" s="2">
        <f t="shared" si="4"/>
        <v>0.34720000000000001</v>
      </c>
    </row>
    <row r="297" spans="1:7">
      <c r="A297">
        <v>1989</v>
      </c>
      <c r="B297" t="s">
        <v>310</v>
      </c>
      <c r="C297" t="s">
        <v>18</v>
      </c>
      <c r="D297" s="2">
        <v>0.129</v>
      </c>
      <c r="E297">
        <v>0.12</v>
      </c>
      <c r="F297">
        <v>0.12</v>
      </c>
      <c r="G297" s="2">
        <f t="shared" si="4"/>
        <v>0.36899999999999999</v>
      </c>
    </row>
    <row r="298" spans="1:7">
      <c r="A298">
        <v>1989</v>
      </c>
      <c r="B298" t="s">
        <v>310</v>
      </c>
      <c r="C298" t="s">
        <v>28</v>
      </c>
      <c r="D298" s="2">
        <v>0.1249</v>
      </c>
      <c r="E298">
        <v>0.1147</v>
      </c>
      <c r="F298">
        <v>0.1137</v>
      </c>
      <c r="G298" s="2">
        <f t="shared" si="4"/>
        <v>0.3533</v>
      </c>
    </row>
    <row r="299" spans="1:7">
      <c r="A299">
        <v>1989</v>
      </c>
      <c r="B299" t="s">
        <v>310</v>
      </c>
      <c r="C299" t="s">
        <v>55</v>
      </c>
      <c r="D299" s="2">
        <v>0.1293</v>
      </c>
      <c r="E299">
        <v>0.12039999999999999</v>
      </c>
      <c r="F299">
        <v>0.1183</v>
      </c>
      <c r="G299" s="2">
        <f t="shared" si="4"/>
        <v>0.36799999999999999</v>
      </c>
    </row>
    <row r="300" spans="1:7">
      <c r="A300">
        <v>1989</v>
      </c>
      <c r="B300" t="s">
        <v>310</v>
      </c>
      <c r="C300" t="s">
        <v>227</v>
      </c>
      <c r="D300" s="2">
        <v>0.1195</v>
      </c>
      <c r="E300">
        <v>0.1115</v>
      </c>
      <c r="F300">
        <v>0.1115</v>
      </c>
      <c r="G300" s="2">
        <f t="shared" si="4"/>
        <v>0.34250000000000003</v>
      </c>
    </row>
    <row r="301" spans="1:7">
      <c r="A301">
        <v>1989</v>
      </c>
      <c r="B301" t="s">
        <v>310</v>
      </c>
      <c r="C301" t="s">
        <v>31</v>
      </c>
      <c r="D301" s="2">
        <v>0.1225</v>
      </c>
      <c r="E301">
        <v>0.111</v>
      </c>
      <c r="F301">
        <v>0.109</v>
      </c>
      <c r="G301" s="2">
        <f t="shared" si="4"/>
        <v>0.34250000000000003</v>
      </c>
    </row>
    <row r="302" spans="1:7">
      <c r="A302">
        <v>1989</v>
      </c>
      <c r="B302" t="s">
        <v>310</v>
      </c>
      <c r="C302" t="s">
        <v>18</v>
      </c>
      <c r="D302" s="2">
        <v>0.129</v>
      </c>
      <c r="E302">
        <v>0.1195</v>
      </c>
      <c r="F302">
        <v>0.11849999999999999</v>
      </c>
      <c r="G302" s="2">
        <f t="shared" si="4"/>
        <v>0.36699999999999999</v>
      </c>
    </row>
    <row r="303" spans="1:7">
      <c r="A303">
        <v>1989</v>
      </c>
      <c r="B303" t="s">
        <v>310</v>
      </c>
      <c r="C303" t="s">
        <v>248</v>
      </c>
      <c r="D303" s="2">
        <v>0.15</v>
      </c>
      <c r="E303">
        <v>0.1045</v>
      </c>
      <c r="F303">
        <v>0.1045</v>
      </c>
      <c r="G303" s="2">
        <f t="shared" si="4"/>
        <v>0.35899999999999999</v>
      </c>
    </row>
    <row r="304" spans="1:7">
      <c r="A304">
        <v>1989</v>
      </c>
      <c r="B304" t="s">
        <v>310</v>
      </c>
      <c r="C304" t="s">
        <v>31</v>
      </c>
      <c r="D304" s="2">
        <v>0.13850000000000001</v>
      </c>
      <c r="E304">
        <v>0.1285</v>
      </c>
      <c r="F304">
        <v>0.1285</v>
      </c>
      <c r="G304" s="2">
        <f t="shared" si="4"/>
        <v>0.39550000000000002</v>
      </c>
    </row>
    <row r="305" spans="1:7">
      <c r="A305">
        <v>1989</v>
      </c>
      <c r="B305" t="s">
        <v>310</v>
      </c>
      <c r="C305" t="s">
        <v>31</v>
      </c>
      <c r="D305" s="2">
        <v>0.13700000000000001</v>
      </c>
      <c r="E305">
        <v>0.1295</v>
      </c>
      <c r="F305">
        <v>0.13200000000000001</v>
      </c>
      <c r="G305" s="2">
        <f t="shared" si="4"/>
        <v>0.39850000000000002</v>
      </c>
    </row>
    <row r="306" spans="1:7">
      <c r="A306">
        <v>1989</v>
      </c>
      <c r="B306" t="s">
        <v>310</v>
      </c>
      <c r="C306" t="s">
        <v>31</v>
      </c>
      <c r="D306" s="2">
        <v>0.125</v>
      </c>
      <c r="E306">
        <v>0.1135</v>
      </c>
      <c r="F306">
        <v>0.115</v>
      </c>
      <c r="G306" s="2">
        <f t="shared" si="4"/>
        <v>0.35349999999999998</v>
      </c>
    </row>
    <row r="307" spans="1:7">
      <c r="A307">
        <v>1989</v>
      </c>
      <c r="B307" t="s">
        <v>310</v>
      </c>
      <c r="C307" t="s">
        <v>55</v>
      </c>
      <c r="D307" s="2">
        <v>0.12330000000000001</v>
      </c>
      <c r="E307">
        <v>0.1144</v>
      </c>
      <c r="F307">
        <v>0.12330000000000001</v>
      </c>
      <c r="G307" s="2">
        <f t="shared" si="4"/>
        <v>0.36099999999999999</v>
      </c>
    </row>
    <row r="308" spans="1:7">
      <c r="A308">
        <v>1989</v>
      </c>
      <c r="B308" t="s">
        <v>310</v>
      </c>
      <c r="C308" t="s">
        <v>15</v>
      </c>
      <c r="D308" s="2">
        <v>0.13</v>
      </c>
      <c r="E308">
        <v>0.11799999999999999</v>
      </c>
      <c r="F308">
        <v>0.11799999999999999</v>
      </c>
      <c r="G308" s="2">
        <f t="shared" si="4"/>
        <v>0.36599999999999999</v>
      </c>
    </row>
    <row r="309" spans="1:7">
      <c r="A309">
        <v>1989</v>
      </c>
      <c r="B309" t="s">
        <v>310</v>
      </c>
      <c r="C309" t="s">
        <v>18</v>
      </c>
      <c r="D309" s="2">
        <v>0.12330000000000001</v>
      </c>
      <c r="E309">
        <v>0.1143</v>
      </c>
      <c r="F309">
        <v>0.12330000000000001</v>
      </c>
      <c r="G309" s="2">
        <f t="shared" si="4"/>
        <v>0.3609</v>
      </c>
    </row>
    <row r="310" spans="1:7">
      <c r="A310">
        <v>1989</v>
      </c>
      <c r="B310" t="s">
        <v>310</v>
      </c>
      <c r="C310" t="s">
        <v>31</v>
      </c>
      <c r="D310" s="2">
        <v>0.13850000000000001</v>
      </c>
      <c r="E310">
        <v>0.1285</v>
      </c>
      <c r="F310">
        <v>0.1285</v>
      </c>
      <c r="G310" s="2">
        <f t="shared" si="4"/>
        <v>0.39550000000000002</v>
      </c>
    </row>
    <row r="311" spans="1:7">
      <c r="A311">
        <v>1989</v>
      </c>
      <c r="B311" t="s">
        <v>310</v>
      </c>
      <c r="C311" t="s">
        <v>18</v>
      </c>
      <c r="D311" s="2">
        <v>0.129</v>
      </c>
      <c r="E311">
        <v>0.12</v>
      </c>
      <c r="F311">
        <v>0.12</v>
      </c>
      <c r="G311" s="2">
        <f t="shared" si="4"/>
        <v>0.36899999999999999</v>
      </c>
    </row>
    <row r="312" spans="1:7">
      <c r="A312">
        <v>1989</v>
      </c>
      <c r="B312" t="s">
        <v>310</v>
      </c>
      <c r="C312" t="s">
        <v>248</v>
      </c>
      <c r="D312" s="2">
        <v>0.15</v>
      </c>
      <c r="E312">
        <v>0.115</v>
      </c>
      <c r="F312">
        <v>0.1075</v>
      </c>
      <c r="G312" s="2">
        <f t="shared" si="4"/>
        <v>0.3725</v>
      </c>
    </row>
    <row r="313" spans="1:7">
      <c r="A313">
        <v>1989</v>
      </c>
      <c r="B313" t="s">
        <v>310</v>
      </c>
      <c r="C313" t="s">
        <v>31</v>
      </c>
      <c r="D313" s="2">
        <v>0.12239999999999999</v>
      </c>
      <c r="E313">
        <v>0.1144</v>
      </c>
      <c r="F313">
        <v>0.1144</v>
      </c>
      <c r="G313" s="2">
        <f t="shared" si="4"/>
        <v>0.35120000000000001</v>
      </c>
    </row>
    <row r="314" spans="1:7">
      <c r="A314">
        <v>1989</v>
      </c>
      <c r="B314" t="s">
        <v>298</v>
      </c>
      <c r="C314" t="s">
        <v>15</v>
      </c>
      <c r="D314" s="2">
        <v>0.14000000000000001</v>
      </c>
      <c r="E314">
        <v>0.13</v>
      </c>
      <c r="F314" t="s">
        <v>16</v>
      </c>
      <c r="G314" s="2">
        <f t="shared" si="4"/>
        <v>0.27</v>
      </c>
    </row>
    <row r="315" spans="1:7">
      <c r="A315">
        <v>1989</v>
      </c>
      <c r="B315" t="s">
        <v>298</v>
      </c>
      <c r="C315" t="s">
        <v>18</v>
      </c>
      <c r="D315" s="2">
        <v>0.129</v>
      </c>
      <c r="E315">
        <v>0.11799999999999999</v>
      </c>
      <c r="F315">
        <v>0.129</v>
      </c>
      <c r="G315" s="2">
        <f t="shared" si="4"/>
        <v>0.376</v>
      </c>
    </row>
    <row r="316" spans="1:7">
      <c r="A316">
        <v>1989</v>
      </c>
      <c r="B316" t="s">
        <v>298</v>
      </c>
      <c r="C316" t="s">
        <v>15</v>
      </c>
      <c r="D316" s="2">
        <v>0.1288</v>
      </c>
      <c r="E316">
        <v>0.1288</v>
      </c>
      <c r="F316" t="s">
        <v>16</v>
      </c>
      <c r="G316" s="2">
        <f t="shared" si="4"/>
        <v>0.2576</v>
      </c>
    </row>
    <row r="317" spans="1:7">
      <c r="A317">
        <v>1989</v>
      </c>
      <c r="B317" t="s">
        <v>298</v>
      </c>
      <c r="C317" t="s">
        <v>15</v>
      </c>
      <c r="D317" s="2" t="s">
        <v>345</v>
      </c>
      <c r="E317">
        <v>0.11749999999999999</v>
      </c>
      <c r="F317">
        <v>0.1225</v>
      </c>
      <c r="G317" s="2">
        <f t="shared" si="4"/>
        <v>0.24</v>
      </c>
    </row>
    <row r="318" spans="1:7">
      <c r="A318">
        <v>1989</v>
      </c>
      <c r="B318" t="s">
        <v>298</v>
      </c>
      <c r="C318" t="s">
        <v>18</v>
      </c>
      <c r="D318" s="2">
        <v>0.1285</v>
      </c>
      <c r="E318">
        <v>0.11849999999999999</v>
      </c>
      <c r="F318">
        <v>0.11849999999999999</v>
      </c>
      <c r="G318" s="2">
        <f t="shared" si="4"/>
        <v>0.36549999999999999</v>
      </c>
    </row>
    <row r="319" spans="1:7">
      <c r="A319">
        <v>1989</v>
      </c>
      <c r="B319" t="s">
        <v>298</v>
      </c>
      <c r="C319" t="s">
        <v>18</v>
      </c>
      <c r="D319" s="2">
        <v>0.14000000000000001</v>
      </c>
      <c r="E319">
        <v>0.13</v>
      </c>
      <c r="F319" t="s">
        <v>16</v>
      </c>
      <c r="G319" s="2">
        <f t="shared" si="4"/>
        <v>0.27</v>
      </c>
    </row>
    <row r="320" spans="1:7">
      <c r="A320">
        <v>1989</v>
      </c>
      <c r="B320" t="s">
        <v>298</v>
      </c>
      <c r="C320" t="s">
        <v>15</v>
      </c>
      <c r="D320" s="2">
        <v>0.13200000000000001</v>
      </c>
      <c r="E320">
        <v>0.122</v>
      </c>
      <c r="F320" t="s">
        <v>16</v>
      </c>
      <c r="G320" s="2">
        <f t="shared" si="4"/>
        <v>0.254</v>
      </c>
    </row>
    <row r="321" spans="1:7">
      <c r="A321">
        <v>1989</v>
      </c>
      <c r="B321" t="s">
        <v>298</v>
      </c>
      <c r="C321" t="s">
        <v>15</v>
      </c>
      <c r="D321" s="2">
        <v>0.1275</v>
      </c>
      <c r="E321">
        <v>0.1275</v>
      </c>
      <c r="F321">
        <v>0.1275</v>
      </c>
      <c r="G321" s="2">
        <f t="shared" si="4"/>
        <v>0.38250000000000001</v>
      </c>
    </row>
    <row r="322" spans="1:7">
      <c r="A322">
        <v>1989</v>
      </c>
      <c r="B322" t="s">
        <v>298</v>
      </c>
      <c r="C322" t="s">
        <v>15</v>
      </c>
      <c r="D322" s="2">
        <v>0.122</v>
      </c>
      <c r="E322">
        <v>0.122</v>
      </c>
      <c r="F322">
        <v>0.122</v>
      </c>
      <c r="G322" s="2">
        <f t="shared" si="4"/>
        <v>0.36599999999999999</v>
      </c>
    </row>
    <row r="323" spans="1:7">
      <c r="A323">
        <v>1989</v>
      </c>
      <c r="B323" t="s">
        <v>298</v>
      </c>
      <c r="C323" t="s">
        <v>18</v>
      </c>
      <c r="D323" s="2">
        <v>0.1244</v>
      </c>
      <c r="E323">
        <v>0.1134</v>
      </c>
      <c r="F323">
        <v>0.11940000000000001</v>
      </c>
      <c r="G323" s="2">
        <f t="shared" ref="G323:G386" si="5">SUM(D323:F323)</f>
        <v>0.35720000000000002</v>
      </c>
    </row>
    <row r="324" spans="1:7">
      <c r="A324">
        <v>1989</v>
      </c>
      <c r="B324" t="s">
        <v>298</v>
      </c>
      <c r="C324" t="s">
        <v>18</v>
      </c>
      <c r="D324" s="2">
        <v>0.1275</v>
      </c>
      <c r="E324">
        <v>0.11749999999999999</v>
      </c>
      <c r="F324">
        <v>0.1225</v>
      </c>
      <c r="G324" s="2">
        <f t="shared" si="5"/>
        <v>0.36749999999999999</v>
      </c>
    </row>
    <row r="325" spans="1:7">
      <c r="A325">
        <v>1989</v>
      </c>
      <c r="B325" t="s">
        <v>298</v>
      </c>
      <c r="C325" t="s">
        <v>15</v>
      </c>
      <c r="D325" s="2">
        <v>0.122</v>
      </c>
      <c r="E325">
        <v>0.122</v>
      </c>
      <c r="F325">
        <v>0.122</v>
      </c>
      <c r="G325" s="2">
        <f t="shared" si="5"/>
        <v>0.36599999999999999</v>
      </c>
    </row>
    <row r="326" spans="1:7">
      <c r="A326">
        <v>1989</v>
      </c>
      <c r="B326" t="s">
        <v>298</v>
      </c>
      <c r="C326" t="s">
        <v>18</v>
      </c>
      <c r="D326" s="2">
        <v>0.155</v>
      </c>
      <c r="E326">
        <v>0.14499999999999999</v>
      </c>
      <c r="F326">
        <v>0.14899999999999999</v>
      </c>
      <c r="G326" s="2">
        <f t="shared" si="5"/>
        <v>0.44900000000000001</v>
      </c>
    </row>
    <row r="327" spans="1:7">
      <c r="A327">
        <v>1990</v>
      </c>
      <c r="B327" t="s">
        <v>310</v>
      </c>
      <c r="C327" t="s">
        <v>112</v>
      </c>
      <c r="D327" s="2">
        <v>0.1525</v>
      </c>
      <c r="E327">
        <v>0.14499999999999999</v>
      </c>
      <c r="F327">
        <v>0.14899999999999999</v>
      </c>
      <c r="G327" s="2">
        <f t="shared" si="5"/>
        <v>0.44650000000000001</v>
      </c>
    </row>
    <row r="328" spans="1:7">
      <c r="A328">
        <v>1990</v>
      </c>
      <c r="B328" t="s">
        <v>310</v>
      </c>
      <c r="C328" t="s">
        <v>18</v>
      </c>
      <c r="D328" s="2">
        <v>0.16500000000000001</v>
      </c>
      <c r="E328">
        <v>0.157</v>
      </c>
      <c r="F328">
        <v>0.16</v>
      </c>
      <c r="G328" s="2">
        <f t="shared" si="5"/>
        <v>0.48199999999999998</v>
      </c>
    </row>
    <row r="329" spans="1:7">
      <c r="A329">
        <v>1990</v>
      </c>
      <c r="B329" t="s">
        <v>310</v>
      </c>
      <c r="C329" t="s">
        <v>15</v>
      </c>
      <c r="D329" s="2">
        <v>0.16300000000000001</v>
      </c>
      <c r="E329">
        <v>0.154</v>
      </c>
      <c r="F329">
        <v>0.161</v>
      </c>
      <c r="G329" s="2">
        <f t="shared" si="5"/>
        <v>0.47799999999999998</v>
      </c>
    </row>
    <row r="330" spans="1:7">
      <c r="A330">
        <v>1990</v>
      </c>
      <c r="B330" t="s">
        <v>310</v>
      </c>
      <c r="C330" t="s">
        <v>18</v>
      </c>
      <c r="D330" s="2">
        <v>0.16300000000000001</v>
      </c>
      <c r="E330">
        <v>0.152</v>
      </c>
      <c r="F330">
        <v>0.153</v>
      </c>
      <c r="G330" s="2">
        <f t="shared" si="5"/>
        <v>0.46800000000000003</v>
      </c>
    </row>
    <row r="331" spans="1:7">
      <c r="A331">
        <v>1990</v>
      </c>
      <c r="B331" t="s">
        <v>310</v>
      </c>
      <c r="C331" t="s">
        <v>15</v>
      </c>
      <c r="D331" s="2">
        <v>0.16300000000000001</v>
      </c>
      <c r="E331">
        <v>0.154</v>
      </c>
      <c r="F331">
        <v>0.161</v>
      </c>
      <c r="G331" s="2">
        <f t="shared" si="5"/>
        <v>0.47799999999999998</v>
      </c>
    </row>
    <row r="332" spans="1:7">
      <c r="A332">
        <v>1990</v>
      </c>
      <c r="B332" t="s">
        <v>310</v>
      </c>
      <c r="C332" t="s">
        <v>55</v>
      </c>
      <c r="D332" s="2">
        <v>0.15690000000000001</v>
      </c>
      <c r="E332">
        <v>0.15490000000000001</v>
      </c>
      <c r="F332">
        <v>0.15290000000000001</v>
      </c>
      <c r="G332" s="2">
        <f t="shared" si="5"/>
        <v>0.4647</v>
      </c>
    </row>
    <row r="333" spans="1:7">
      <c r="A333">
        <v>1990</v>
      </c>
      <c r="B333" t="s">
        <v>310</v>
      </c>
      <c r="C333" t="s">
        <v>15</v>
      </c>
      <c r="D333" s="2">
        <v>0.156</v>
      </c>
      <c r="E333">
        <v>0.152</v>
      </c>
      <c r="F333">
        <v>0.152</v>
      </c>
      <c r="G333" s="2">
        <f t="shared" si="5"/>
        <v>0.46</v>
      </c>
    </row>
    <row r="334" spans="1:7">
      <c r="A334">
        <v>1990</v>
      </c>
      <c r="B334" t="s">
        <v>310</v>
      </c>
      <c r="C334" t="s">
        <v>18</v>
      </c>
      <c r="D334" s="2">
        <v>0.16500000000000001</v>
      </c>
      <c r="E334">
        <v>0.155</v>
      </c>
      <c r="F334">
        <v>0.16</v>
      </c>
      <c r="G334" s="2">
        <f t="shared" si="5"/>
        <v>0.48</v>
      </c>
    </row>
    <row r="335" spans="1:7">
      <c r="A335">
        <v>1990</v>
      </c>
      <c r="B335" t="s">
        <v>310</v>
      </c>
      <c r="C335" t="s">
        <v>43</v>
      </c>
      <c r="D335" s="2">
        <v>0.14899999999999999</v>
      </c>
      <c r="E335">
        <v>0.13900000000000001</v>
      </c>
      <c r="F335">
        <v>0.14299999999999999</v>
      </c>
      <c r="G335" s="2">
        <f t="shared" si="5"/>
        <v>0.43099999999999999</v>
      </c>
    </row>
    <row r="336" spans="1:7">
      <c r="A336">
        <v>1990</v>
      </c>
      <c r="B336" t="s">
        <v>310</v>
      </c>
      <c r="C336" t="s">
        <v>18</v>
      </c>
      <c r="D336" s="2">
        <v>0.16800000000000001</v>
      </c>
      <c r="E336">
        <v>0.157</v>
      </c>
      <c r="F336">
        <v>0.158</v>
      </c>
      <c r="G336" s="2">
        <f t="shared" si="5"/>
        <v>0.48299999999999998</v>
      </c>
    </row>
    <row r="337" spans="1:7">
      <c r="A337">
        <v>1990</v>
      </c>
      <c r="B337" t="s">
        <v>310</v>
      </c>
      <c r="C337" t="s">
        <v>18</v>
      </c>
      <c r="D337" s="2">
        <v>0.16900000000000001</v>
      </c>
      <c r="E337">
        <v>0.16900000000000001</v>
      </c>
      <c r="F337" t="s">
        <v>16</v>
      </c>
      <c r="G337" s="2">
        <f t="shared" si="5"/>
        <v>0.33800000000000002</v>
      </c>
    </row>
    <row r="338" spans="1:7">
      <c r="A338">
        <v>1990</v>
      </c>
      <c r="B338" t="s">
        <v>310</v>
      </c>
      <c r="C338" t="s">
        <v>15</v>
      </c>
      <c r="D338" s="2">
        <v>0.16300000000000001</v>
      </c>
      <c r="E338">
        <v>0.154</v>
      </c>
      <c r="F338">
        <v>0.161</v>
      </c>
      <c r="G338" s="2">
        <f t="shared" si="5"/>
        <v>0.47799999999999998</v>
      </c>
    </row>
    <row r="339" spans="1:7">
      <c r="A339">
        <v>1990</v>
      </c>
      <c r="B339" t="s">
        <v>310</v>
      </c>
      <c r="C339" t="s">
        <v>15</v>
      </c>
      <c r="D339" s="2">
        <v>0.151</v>
      </c>
      <c r="E339">
        <v>0.14499999999999999</v>
      </c>
      <c r="F339">
        <v>0.14499999999999999</v>
      </c>
      <c r="G339" s="2">
        <f t="shared" si="5"/>
        <v>0.441</v>
      </c>
    </row>
    <row r="340" spans="1:7">
      <c r="A340">
        <v>1990</v>
      </c>
      <c r="B340" t="s">
        <v>310</v>
      </c>
      <c r="C340" t="s">
        <v>15</v>
      </c>
      <c r="D340" s="2">
        <v>0.16569999999999999</v>
      </c>
      <c r="E340" t="s">
        <v>16</v>
      </c>
      <c r="F340">
        <v>0.1643</v>
      </c>
      <c r="G340" s="2">
        <f t="shared" si="5"/>
        <v>0.33</v>
      </c>
    </row>
    <row r="341" spans="1:7">
      <c r="A341">
        <v>1990</v>
      </c>
      <c r="B341" t="s">
        <v>310</v>
      </c>
      <c r="C341" t="s">
        <v>18</v>
      </c>
      <c r="D341" s="2">
        <v>0.16900000000000001</v>
      </c>
      <c r="E341">
        <v>0.161</v>
      </c>
      <c r="F341">
        <v>0.161</v>
      </c>
      <c r="G341" s="2">
        <f t="shared" si="5"/>
        <v>0.49099999999999999</v>
      </c>
    </row>
    <row r="342" spans="1:7">
      <c r="A342">
        <v>1990</v>
      </c>
      <c r="B342" t="s">
        <v>310</v>
      </c>
      <c r="C342" t="s">
        <v>103</v>
      </c>
      <c r="D342" s="2">
        <v>0.15</v>
      </c>
      <c r="E342">
        <v>0.14499999999999999</v>
      </c>
      <c r="F342">
        <v>0.15</v>
      </c>
      <c r="G342" s="2">
        <f t="shared" si="5"/>
        <v>0.44500000000000001</v>
      </c>
    </row>
    <row r="343" spans="1:7">
      <c r="A343">
        <v>1990</v>
      </c>
      <c r="B343" t="s">
        <v>310</v>
      </c>
      <c r="C343" t="s">
        <v>15</v>
      </c>
      <c r="D343" s="2">
        <v>0.16300000000000001</v>
      </c>
      <c r="E343">
        <v>0.154</v>
      </c>
      <c r="F343" t="s">
        <v>16</v>
      </c>
      <c r="G343" s="2">
        <f t="shared" si="5"/>
        <v>0.317</v>
      </c>
    </row>
    <row r="344" spans="1:7">
      <c r="A344">
        <v>1990</v>
      </c>
      <c r="B344" t="s">
        <v>310</v>
      </c>
      <c r="C344" t="s">
        <v>15</v>
      </c>
      <c r="D344" s="2">
        <v>0.16300000000000001</v>
      </c>
      <c r="E344">
        <v>0.154</v>
      </c>
      <c r="F344">
        <v>0.16</v>
      </c>
      <c r="G344" s="2">
        <f t="shared" si="5"/>
        <v>0.47699999999999998</v>
      </c>
    </row>
    <row r="345" spans="1:7">
      <c r="A345">
        <v>1990</v>
      </c>
      <c r="B345" t="s">
        <v>310</v>
      </c>
      <c r="C345" t="s">
        <v>43</v>
      </c>
      <c r="D345" s="2">
        <v>0.1525</v>
      </c>
      <c r="E345">
        <v>0.14499999999999999</v>
      </c>
      <c r="F345">
        <v>0.14899999999999999</v>
      </c>
      <c r="G345" s="2">
        <f t="shared" si="5"/>
        <v>0.44650000000000001</v>
      </c>
    </row>
    <row r="346" spans="1:7">
      <c r="A346">
        <v>1990</v>
      </c>
      <c r="B346" t="s">
        <v>310</v>
      </c>
      <c r="C346" t="s">
        <v>15</v>
      </c>
      <c r="D346" s="2">
        <v>0.14699999999999999</v>
      </c>
      <c r="E346">
        <v>0.13800000000000001</v>
      </c>
      <c r="F346">
        <v>0.13700000000000001</v>
      </c>
      <c r="G346" s="2">
        <f t="shared" si="5"/>
        <v>0.42199999999999999</v>
      </c>
    </row>
    <row r="347" spans="1:7">
      <c r="A347">
        <v>1990</v>
      </c>
      <c r="B347" t="s">
        <v>310</v>
      </c>
      <c r="C347" t="s">
        <v>18</v>
      </c>
      <c r="D347" s="2">
        <v>0.16900000000000001</v>
      </c>
      <c r="E347">
        <v>0.16500000000000001</v>
      </c>
      <c r="F347">
        <v>0.16500000000000001</v>
      </c>
      <c r="G347" s="2">
        <f t="shared" si="5"/>
        <v>0.499</v>
      </c>
    </row>
    <row r="348" spans="1:7">
      <c r="A348">
        <v>1990</v>
      </c>
      <c r="B348" t="s">
        <v>310</v>
      </c>
      <c r="C348" t="s">
        <v>18</v>
      </c>
      <c r="D348" s="2">
        <v>0.154</v>
      </c>
      <c r="E348">
        <v>0.14699999999999999</v>
      </c>
      <c r="F348">
        <v>0.14899999999999999</v>
      </c>
      <c r="G348" s="2">
        <f t="shared" si="5"/>
        <v>0.45</v>
      </c>
    </row>
    <row r="349" spans="1:7">
      <c r="A349">
        <v>1990</v>
      </c>
      <c r="B349" t="s">
        <v>310</v>
      </c>
      <c r="C349" t="s">
        <v>55</v>
      </c>
      <c r="D349" s="2">
        <v>0.15440000000000001</v>
      </c>
      <c r="E349">
        <v>0.14990000000000001</v>
      </c>
      <c r="F349">
        <v>0.15090000000000001</v>
      </c>
      <c r="G349" s="2">
        <f t="shared" si="5"/>
        <v>0.45519999999999999</v>
      </c>
    </row>
    <row r="350" spans="1:7">
      <c r="A350">
        <v>1990</v>
      </c>
      <c r="B350" t="s">
        <v>310</v>
      </c>
      <c r="C350" t="s">
        <v>31</v>
      </c>
      <c r="D350" s="2">
        <v>0.1525</v>
      </c>
      <c r="E350">
        <v>0.15049999999999999</v>
      </c>
      <c r="F350">
        <v>0.14949999999999999</v>
      </c>
      <c r="G350" s="2">
        <f t="shared" si="5"/>
        <v>0.45250000000000001</v>
      </c>
    </row>
    <row r="351" spans="1:7">
      <c r="A351">
        <v>1990</v>
      </c>
      <c r="B351" t="s">
        <v>310</v>
      </c>
      <c r="C351" t="s">
        <v>55</v>
      </c>
      <c r="D351" s="2">
        <v>0.16450000000000001</v>
      </c>
      <c r="E351">
        <v>0.157</v>
      </c>
      <c r="F351">
        <v>0.157</v>
      </c>
      <c r="G351" s="2">
        <f t="shared" si="5"/>
        <v>0.47849999999999998</v>
      </c>
    </row>
    <row r="352" spans="1:7">
      <c r="A352">
        <v>1990</v>
      </c>
      <c r="B352" t="s">
        <v>310</v>
      </c>
      <c r="C352" t="s">
        <v>243</v>
      </c>
      <c r="D352" s="2">
        <v>0.16</v>
      </c>
      <c r="E352">
        <v>0.14749999999999999</v>
      </c>
      <c r="F352">
        <v>0.14749999999999999</v>
      </c>
      <c r="G352" s="2">
        <f t="shared" si="5"/>
        <v>0.45500000000000002</v>
      </c>
    </row>
    <row r="353" spans="1:7">
      <c r="A353">
        <v>1990</v>
      </c>
      <c r="B353" t="s">
        <v>310</v>
      </c>
      <c r="C353" t="s">
        <v>18</v>
      </c>
      <c r="D353" s="2">
        <v>0.17499999999999999</v>
      </c>
      <c r="E353">
        <v>0.16500000000000001</v>
      </c>
      <c r="F353">
        <v>0.16500000000000001</v>
      </c>
      <c r="G353" s="2">
        <f t="shared" si="5"/>
        <v>0.505</v>
      </c>
    </row>
    <row r="354" spans="1:7">
      <c r="A354">
        <v>1990</v>
      </c>
      <c r="B354" t="s">
        <v>310</v>
      </c>
      <c r="C354" t="s">
        <v>18</v>
      </c>
      <c r="D354" s="2">
        <v>0.154</v>
      </c>
      <c r="E354">
        <v>0.14849999999999999</v>
      </c>
      <c r="F354">
        <v>0.14949999999999999</v>
      </c>
      <c r="G354" s="2">
        <f t="shared" si="5"/>
        <v>0.45200000000000001</v>
      </c>
    </row>
    <row r="355" spans="1:7">
      <c r="A355">
        <v>1990</v>
      </c>
      <c r="B355" t="s">
        <v>310</v>
      </c>
      <c r="C355" t="s">
        <v>248</v>
      </c>
      <c r="D355" s="2">
        <v>0.17</v>
      </c>
      <c r="E355">
        <v>0.1195</v>
      </c>
      <c r="F355">
        <v>0.1187</v>
      </c>
      <c r="G355" s="2">
        <f t="shared" si="5"/>
        <v>0.40820000000000001</v>
      </c>
    </row>
    <row r="356" spans="1:7">
      <c r="A356">
        <v>1990</v>
      </c>
      <c r="B356" t="s">
        <v>310</v>
      </c>
      <c r="C356" t="s">
        <v>31</v>
      </c>
      <c r="D356" s="2">
        <v>0.15490000000000001</v>
      </c>
      <c r="E356">
        <v>0.15240000000000001</v>
      </c>
      <c r="F356">
        <v>0.151</v>
      </c>
      <c r="G356" s="2">
        <f t="shared" si="5"/>
        <v>0.45829999999999999</v>
      </c>
    </row>
    <row r="357" spans="1:7">
      <c r="A357">
        <v>1990</v>
      </c>
      <c r="B357" t="s">
        <v>310</v>
      </c>
      <c r="C357" t="s">
        <v>31</v>
      </c>
      <c r="D357" s="2">
        <v>0.1575</v>
      </c>
      <c r="E357">
        <v>0.15490000000000001</v>
      </c>
      <c r="F357">
        <v>0.15440000000000001</v>
      </c>
      <c r="G357" s="2">
        <f t="shared" si="5"/>
        <v>0.46679999999999999</v>
      </c>
    </row>
    <row r="358" spans="1:7">
      <c r="A358">
        <v>1990</v>
      </c>
      <c r="B358" t="s">
        <v>310</v>
      </c>
      <c r="C358" t="s">
        <v>243</v>
      </c>
      <c r="D358" s="2">
        <v>0.17249999999999999</v>
      </c>
      <c r="E358">
        <v>0.16900000000000001</v>
      </c>
      <c r="F358">
        <v>0.16900000000000001</v>
      </c>
      <c r="G358" s="2">
        <f t="shared" si="5"/>
        <v>0.51049999999999995</v>
      </c>
    </row>
    <row r="359" spans="1:7">
      <c r="A359">
        <v>1990</v>
      </c>
      <c r="B359" t="s">
        <v>310</v>
      </c>
      <c r="C359" t="s">
        <v>248</v>
      </c>
      <c r="D359" s="2">
        <v>0.18</v>
      </c>
      <c r="E359">
        <v>0.14000000000000001</v>
      </c>
      <c r="F359">
        <v>0.13650000000000001</v>
      </c>
      <c r="G359" s="2">
        <f t="shared" si="5"/>
        <v>0.45650000000000002</v>
      </c>
    </row>
    <row r="360" spans="1:7">
      <c r="A360">
        <v>1990</v>
      </c>
      <c r="B360" t="s">
        <v>310</v>
      </c>
      <c r="C360" t="s">
        <v>15</v>
      </c>
      <c r="D360" s="2">
        <v>0.156</v>
      </c>
      <c r="E360">
        <v>0.152</v>
      </c>
      <c r="F360">
        <v>0.152</v>
      </c>
      <c r="G360" s="2">
        <f t="shared" si="5"/>
        <v>0.46</v>
      </c>
    </row>
    <row r="361" spans="1:7">
      <c r="A361">
        <v>1990</v>
      </c>
      <c r="B361" t="s">
        <v>310</v>
      </c>
      <c r="C361" t="s">
        <v>15</v>
      </c>
      <c r="D361" s="2">
        <v>0.16400000000000001</v>
      </c>
      <c r="E361">
        <v>0.16</v>
      </c>
      <c r="F361">
        <v>0.16</v>
      </c>
      <c r="G361" s="2">
        <f t="shared" si="5"/>
        <v>0.48399999999999999</v>
      </c>
    </row>
    <row r="362" spans="1:7">
      <c r="A362">
        <v>1990</v>
      </c>
      <c r="B362" t="s">
        <v>298</v>
      </c>
      <c r="C362" t="s">
        <v>18</v>
      </c>
      <c r="D362" s="2">
        <v>0.16300000000000001</v>
      </c>
      <c r="E362">
        <v>0.156</v>
      </c>
      <c r="F362">
        <v>0.156</v>
      </c>
      <c r="G362" s="2">
        <f t="shared" si="5"/>
        <v>0.47499999999999998</v>
      </c>
    </row>
    <row r="363" spans="1:7">
      <c r="A363">
        <v>1990</v>
      </c>
      <c r="B363" t="s">
        <v>298</v>
      </c>
      <c r="C363" t="s">
        <v>18</v>
      </c>
      <c r="D363" s="2">
        <v>0.16300000000000001</v>
      </c>
      <c r="E363">
        <v>0.152</v>
      </c>
      <c r="F363">
        <v>0.159</v>
      </c>
      <c r="G363" s="2">
        <f t="shared" si="5"/>
        <v>0.47399999999999998</v>
      </c>
    </row>
    <row r="364" spans="1:7">
      <c r="A364">
        <v>1990</v>
      </c>
      <c r="B364" t="s">
        <v>298</v>
      </c>
      <c r="C364" t="s">
        <v>15</v>
      </c>
      <c r="D364" s="2">
        <v>0.16569999999999999</v>
      </c>
      <c r="E364">
        <v>0.1573</v>
      </c>
      <c r="F364" t="s">
        <v>16</v>
      </c>
      <c r="G364" s="2">
        <f t="shared" si="5"/>
        <v>0.32300000000000001</v>
      </c>
    </row>
    <row r="365" spans="1:7">
      <c r="A365">
        <v>1990</v>
      </c>
      <c r="B365" t="s">
        <v>298</v>
      </c>
      <c r="C365" t="s">
        <v>18</v>
      </c>
      <c r="D365" s="2">
        <v>0.16900000000000001</v>
      </c>
      <c r="E365">
        <v>0.16900000000000001</v>
      </c>
      <c r="F365">
        <v>0.16900000000000001</v>
      </c>
      <c r="G365" s="2">
        <f t="shared" si="5"/>
        <v>0.50700000000000001</v>
      </c>
    </row>
    <row r="366" spans="1:7">
      <c r="A366">
        <v>1990</v>
      </c>
      <c r="B366" t="s">
        <v>298</v>
      </c>
      <c r="C366" t="s">
        <v>15</v>
      </c>
      <c r="D366" s="2">
        <v>0.16569999999999999</v>
      </c>
      <c r="E366">
        <v>0.1573</v>
      </c>
      <c r="F366">
        <v>0.1643</v>
      </c>
      <c r="G366" s="2">
        <f t="shared" si="5"/>
        <v>0.48730000000000001</v>
      </c>
    </row>
    <row r="367" spans="1:7">
      <c r="A367">
        <v>1990</v>
      </c>
      <c r="B367" t="s">
        <v>298</v>
      </c>
      <c r="C367" t="s">
        <v>18</v>
      </c>
      <c r="D367" s="2">
        <v>0.158</v>
      </c>
      <c r="E367">
        <v>0.14799999999999999</v>
      </c>
      <c r="F367" t="s">
        <v>16</v>
      </c>
      <c r="G367" s="2">
        <f t="shared" si="5"/>
        <v>0.30599999999999999</v>
      </c>
    </row>
    <row r="368" spans="1:7">
      <c r="A368">
        <v>1990</v>
      </c>
      <c r="B368" t="s">
        <v>298</v>
      </c>
      <c r="C368" t="s">
        <v>15</v>
      </c>
      <c r="D368" s="2">
        <v>0.16070000000000001</v>
      </c>
      <c r="E368">
        <v>0.15229999999999999</v>
      </c>
      <c r="F368" t="s">
        <v>16</v>
      </c>
      <c r="G368" s="2">
        <f t="shared" si="5"/>
        <v>0.313</v>
      </c>
    </row>
    <row r="369" spans="1:7">
      <c r="A369">
        <v>1990</v>
      </c>
      <c r="B369" t="s">
        <v>298</v>
      </c>
      <c r="C369" t="s">
        <v>15</v>
      </c>
      <c r="D369" s="2">
        <v>0.16</v>
      </c>
      <c r="E369">
        <v>0.16</v>
      </c>
      <c r="F369">
        <v>0.16</v>
      </c>
      <c r="G369" s="2">
        <f t="shared" si="5"/>
        <v>0.48</v>
      </c>
    </row>
    <row r="370" spans="1:7">
      <c r="A370">
        <v>1990</v>
      </c>
      <c r="B370" t="s">
        <v>298</v>
      </c>
      <c r="C370" t="s">
        <v>18</v>
      </c>
      <c r="D370" s="2" t="s">
        <v>345</v>
      </c>
      <c r="E370">
        <v>0.154</v>
      </c>
      <c r="F370">
        <v>0.16400000000000001</v>
      </c>
      <c r="G370" s="2">
        <f t="shared" si="5"/>
        <v>0.318</v>
      </c>
    </row>
    <row r="371" spans="1:7">
      <c r="A371">
        <v>1990</v>
      </c>
      <c r="B371" t="s">
        <v>298</v>
      </c>
      <c r="C371" t="s">
        <v>18</v>
      </c>
      <c r="D371" s="2">
        <v>0.16500000000000001</v>
      </c>
      <c r="E371">
        <v>0.157</v>
      </c>
      <c r="F371">
        <v>0.16400000000000001</v>
      </c>
      <c r="G371" s="2">
        <f t="shared" si="5"/>
        <v>0.48599999999999999</v>
      </c>
    </row>
    <row r="372" spans="1:7">
      <c r="A372">
        <v>1990</v>
      </c>
      <c r="B372" t="s">
        <v>298</v>
      </c>
      <c r="C372" t="s">
        <v>15</v>
      </c>
      <c r="D372" s="2">
        <v>0.16</v>
      </c>
      <c r="E372">
        <v>0.16</v>
      </c>
      <c r="F372">
        <v>0.16</v>
      </c>
      <c r="G372" s="2">
        <f t="shared" si="5"/>
        <v>0.48</v>
      </c>
    </row>
    <row r="373" spans="1:7">
      <c r="A373">
        <v>1990</v>
      </c>
      <c r="B373" t="s">
        <v>298</v>
      </c>
      <c r="C373" t="s">
        <v>18</v>
      </c>
      <c r="D373" s="2">
        <v>0.16300000000000001</v>
      </c>
      <c r="E373">
        <v>0.158</v>
      </c>
      <c r="F373">
        <v>0.158</v>
      </c>
      <c r="G373" s="2">
        <f t="shared" si="5"/>
        <v>0.47899999999999998</v>
      </c>
    </row>
    <row r="374" spans="1:7">
      <c r="A374">
        <v>1990</v>
      </c>
      <c r="B374" t="s">
        <v>298</v>
      </c>
      <c r="C374" t="s">
        <v>15</v>
      </c>
      <c r="D374" s="2">
        <v>0.16</v>
      </c>
      <c r="E374">
        <v>0.16</v>
      </c>
      <c r="F374">
        <v>0.16</v>
      </c>
      <c r="G374" s="2">
        <f t="shared" si="5"/>
        <v>0.48</v>
      </c>
    </row>
    <row r="375" spans="1:7">
      <c r="A375">
        <v>1990</v>
      </c>
      <c r="B375" t="s">
        <v>298</v>
      </c>
      <c r="C375" t="s">
        <v>18</v>
      </c>
      <c r="D375" s="2">
        <v>0.153</v>
      </c>
      <c r="E375">
        <v>0.14299999999999999</v>
      </c>
      <c r="F375">
        <v>0.151</v>
      </c>
      <c r="G375" s="2">
        <f t="shared" si="5"/>
        <v>0.44700000000000001</v>
      </c>
    </row>
    <row r="376" spans="1:7">
      <c r="A376">
        <v>1991</v>
      </c>
      <c r="B376" t="s">
        <v>310</v>
      </c>
      <c r="C376" t="s">
        <v>43</v>
      </c>
      <c r="D376" s="2">
        <v>0.14699999999999999</v>
      </c>
      <c r="E376">
        <v>0.13400000000000001</v>
      </c>
      <c r="F376">
        <v>0.13500000000000001</v>
      </c>
      <c r="G376" s="2">
        <f t="shared" si="5"/>
        <v>0.41599999999999998</v>
      </c>
    </row>
    <row r="377" spans="1:7">
      <c r="A377">
        <v>1991</v>
      </c>
      <c r="B377" t="s">
        <v>310</v>
      </c>
      <c r="C377" t="s">
        <v>15</v>
      </c>
      <c r="D377" s="2">
        <v>0.14199999999999999</v>
      </c>
      <c r="E377">
        <v>0.13300000000000001</v>
      </c>
      <c r="F377">
        <v>0.14099999999999999</v>
      </c>
      <c r="G377" s="2">
        <f t="shared" si="5"/>
        <v>0.41599999999999998</v>
      </c>
    </row>
    <row r="378" spans="1:7">
      <c r="A378">
        <v>1991</v>
      </c>
      <c r="B378" t="s">
        <v>310</v>
      </c>
      <c r="C378" t="s">
        <v>15</v>
      </c>
      <c r="D378" s="2">
        <v>0.154</v>
      </c>
      <c r="E378">
        <v>0.14399999999999999</v>
      </c>
      <c r="F378">
        <v>0.154</v>
      </c>
      <c r="G378" s="2">
        <f t="shared" si="5"/>
        <v>0.45200000000000001</v>
      </c>
    </row>
    <row r="379" spans="1:7">
      <c r="A379">
        <v>1991</v>
      </c>
      <c r="B379" t="s">
        <v>310</v>
      </c>
      <c r="C379" t="s">
        <v>31</v>
      </c>
      <c r="D379" s="2">
        <v>0.14649999999999999</v>
      </c>
      <c r="E379">
        <v>0.14349999999999999</v>
      </c>
      <c r="F379">
        <v>0.14349999999999999</v>
      </c>
      <c r="G379" s="2">
        <f t="shared" si="5"/>
        <v>0.4335</v>
      </c>
    </row>
    <row r="380" spans="1:7">
      <c r="A380">
        <v>1991</v>
      </c>
      <c r="B380" t="s">
        <v>310</v>
      </c>
      <c r="C380" t="s">
        <v>55</v>
      </c>
      <c r="D380" s="2">
        <v>0.13639999999999999</v>
      </c>
      <c r="E380">
        <v>0.12740000000000001</v>
      </c>
      <c r="F380">
        <v>0.12740000000000001</v>
      </c>
      <c r="G380" s="2">
        <f t="shared" si="5"/>
        <v>0.39119999999999999</v>
      </c>
    </row>
    <row r="381" spans="1:7">
      <c r="A381">
        <v>1991</v>
      </c>
      <c r="B381" t="s">
        <v>298</v>
      </c>
      <c r="C381" t="s">
        <v>18</v>
      </c>
      <c r="D381" s="2">
        <v>0.14949999999999999</v>
      </c>
      <c r="E381">
        <v>0.13850000000000001</v>
      </c>
      <c r="F381">
        <v>0.14549999999999999</v>
      </c>
      <c r="G381" s="2">
        <f t="shared" si="5"/>
        <v>0.4335</v>
      </c>
    </row>
    <row r="382" spans="1:7">
      <c r="A382">
        <v>1991</v>
      </c>
      <c r="B382" t="s">
        <v>298</v>
      </c>
      <c r="C382" t="s">
        <v>15</v>
      </c>
      <c r="D382" s="2">
        <v>0.14000000000000001</v>
      </c>
      <c r="E382">
        <v>0.1333</v>
      </c>
      <c r="F382" t="s">
        <v>16</v>
      </c>
      <c r="G382" s="2">
        <f t="shared" si="5"/>
        <v>0.27329999999999999</v>
      </c>
    </row>
    <row r="383" spans="1:7">
      <c r="A383">
        <v>1991</v>
      </c>
      <c r="B383" t="s">
        <v>298</v>
      </c>
      <c r="C383" t="s">
        <v>15</v>
      </c>
      <c r="D383" s="2">
        <v>0.13689999999999999</v>
      </c>
      <c r="E383">
        <v>0.12989999999999999</v>
      </c>
      <c r="F383">
        <v>0.158</v>
      </c>
      <c r="G383" s="2">
        <f t="shared" si="5"/>
        <v>0.42480000000000001</v>
      </c>
    </row>
    <row r="384" spans="1:7">
      <c r="A384">
        <v>1991</v>
      </c>
      <c r="B384" t="s">
        <v>298</v>
      </c>
      <c r="C384" t="s">
        <v>18</v>
      </c>
      <c r="D384" s="2">
        <v>0.15</v>
      </c>
      <c r="E384">
        <v>0.15</v>
      </c>
      <c r="F384">
        <v>0.15</v>
      </c>
      <c r="G384" s="2">
        <f t="shared" si="5"/>
        <v>0.45</v>
      </c>
    </row>
    <row r="385" spans="1:7">
      <c r="A385">
        <v>1991</v>
      </c>
      <c r="B385" t="s">
        <v>298</v>
      </c>
      <c r="C385" t="s">
        <v>18</v>
      </c>
      <c r="D385" s="2">
        <v>0.13780000000000001</v>
      </c>
      <c r="E385">
        <v>0.1278</v>
      </c>
      <c r="F385" t="s">
        <v>16</v>
      </c>
      <c r="G385" s="2">
        <f t="shared" si="5"/>
        <v>0.2656</v>
      </c>
    </row>
    <row r="386" spans="1:7">
      <c r="A386">
        <v>1991</v>
      </c>
      <c r="B386" t="s">
        <v>298</v>
      </c>
      <c r="C386" t="s">
        <v>15</v>
      </c>
      <c r="D386" s="2">
        <v>0.14499999999999999</v>
      </c>
      <c r="E386">
        <v>0.13500000000000001</v>
      </c>
      <c r="F386">
        <v>0.14099999999999999</v>
      </c>
      <c r="G386" s="2">
        <f t="shared" si="5"/>
        <v>0.42099999999999999</v>
      </c>
    </row>
    <row r="387" spans="1:7">
      <c r="A387">
        <v>1991</v>
      </c>
      <c r="B387" t="s">
        <v>298</v>
      </c>
      <c r="C387" t="s">
        <v>15</v>
      </c>
      <c r="D387" s="2">
        <v>0.1386</v>
      </c>
      <c r="E387">
        <v>0.1386</v>
      </c>
      <c r="F387">
        <v>0.1386</v>
      </c>
      <c r="G387" s="2">
        <f t="shared" ref="G387:G393" si="6">SUM(D387:F387)</f>
        <v>0.4158</v>
      </c>
    </row>
    <row r="388" spans="1:7">
      <c r="A388">
        <v>1991</v>
      </c>
      <c r="B388" t="s">
        <v>298</v>
      </c>
      <c r="C388" t="s">
        <v>18</v>
      </c>
      <c r="D388" s="2">
        <v>0.13800000000000001</v>
      </c>
      <c r="E388" t="s">
        <v>16</v>
      </c>
      <c r="F388">
        <v>0.13800000000000001</v>
      </c>
      <c r="G388" s="2">
        <f t="shared" si="6"/>
        <v>0.27600000000000002</v>
      </c>
    </row>
    <row r="389" spans="1:7">
      <c r="A389">
        <v>1991</v>
      </c>
      <c r="B389" t="s">
        <v>298</v>
      </c>
      <c r="C389" t="s">
        <v>18</v>
      </c>
      <c r="D389" s="2">
        <v>0.14199999999999999</v>
      </c>
      <c r="E389">
        <v>0.13300000000000001</v>
      </c>
      <c r="F389">
        <v>0.14099999999999999</v>
      </c>
      <c r="G389" s="2">
        <f t="shared" si="6"/>
        <v>0.41599999999999998</v>
      </c>
    </row>
    <row r="390" spans="1:7">
      <c r="A390">
        <v>1991</v>
      </c>
      <c r="B390" t="s">
        <v>298</v>
      </c>
      <c r="C390" t="s">
        <v>18</v>
      </c>
      <c r="D390" s="2">
        <v>0.14199999999999999</v>
      </c>
      <c r="E390">
        <v>0.13300000000000001</v>
      </c>
      <c r="F390">
        <v>0.14099999999999999</v>
      </c>
      <c r="G390" s="2">
        <f t="shared" si="6"/>
        <v>0.41599999999999998</v>
      </c>
    </row>
    <row r="391" spans="1:7">
      <c r="A391">
        <v>1991</v>
      </c>
      <c r="B391" t="s">
        <v>298</v>
      </c>
      <c r="C391" t="s">
        <v>15</v>
      </c>
      <c r="D391" s="2">
        <v>0.13600000000000001</v>
      </c>
      <c r="E391">
        <v>0.13</v>
      </c>
      <c r="F391">
        <v>0.13700000000000001</v>
      </c>
      <c r="G391" s="2">
        <f t="shared" si="6"/>
        <v>0.40300000000000002</v>
      </c>
    </row>
    <row r="392" spans="1:7">
      <c r="A392">
        <v>1991</v>
      </c>
      <c r="B392" t="s">
        <v>298</v>
      </c>
      <c r="C392" t="s">
        <v>18</v>
      </c>
      <c r="D392" s="2">
        <v>0.14199999999999999</v>
      </c>
      <c r="E392">
        <v>0.13800000000000001</v>
      </c>
      <c r="F392">
        <v>0.13800000000000001</v>
      </c>
      <c r="G392" s="2">
        <f t="shared" si="6"/>
        <v>0.41799999999999998</v>
      </c>
    </row>
    <row r="393" spans="1:7">
      <c r="A393">
        <v>1991</v>
      </c>
      <c r="B393" t="s">
        <v>298</v>
      </c>
      <c r="C393" t="s">
        <v>15</v>
      </c>
      <c r="D393" s="2">
        <v>0.13750000000000001</v>
      </c>
      <c r="E393">
        <v>0.13750000000000001</v>
      </c>
      <c r="F393">
        <v>0.13750000000000001</v>
      </c>
      <c r="G393" s="2">
        <f t="shared" si="6"/>
        <v>0.41249999999999998</v>
      </c>
    </row>
  </sheetData>
  <sortState xmlns:xlrd2="http://schemas.microsoft.com/office/spreadsheetml/2017/richdata2" ref="A2:F393">
    <sortCondition ref="A2:A393"/>
    <sortCondition ref="B2:B393"/>
  </sortState>
  <mergeCells count="3">
    <mergeCell ref="AD4:AD5"/>
    <mergeCell ref="AD6:AD7"/>
    <mergeCell ref="AD8:AD9"/>
  </mergeCells>
  <conditionalFormatting sqref="AJ25:AJ26">
    <cfRule type="colorScale" priority="1">
      <colorScale>
        <cfvo type="min"/>
        <cfvo type="percentile" val="50"/>
        <cfvo type="max"/>
        <color rgb="FFF8696B"/>
        <color rgb="FFFFEB84"/>
        <color rgb="FF63BE7B"/>
      </colorScale>
    </cfRule>
  </conditionalFormatting>
  <pageMargins left="0.7" right="0.7" top="0.75" bottom="0.75" header="0.3" footer="0.3"/>
  <drawing r:id="rId5"/>
  <tableParts count="5">
    <tablePart r:id="rId6"/>
    <tablePart r:id="rId7"/>
    <tablePart r:id="rId8"/>
    <tablePart r:id="rId9"/>
    <tablePart r:id="rId10"/>
  </tableParts>
  <extLst>
    <ext xmlns:x14="http://schemas.microsoft.com/office/spreadsheetml/2009/9/main" uri="{05C60535-1F16-4fd2-B633-F4F36F0B64E0}">
      <x14:sparklineGroups xmlns:xm="http://schemas.microsoft.com/office/excel/2006/main">
        <x14:sparklineGroup type="column" displayEmptyCellsAs="gap" xr2:uid="{00000000-0003-0000-0400-000000000000}">
          <x14:colorSeries rgb="FF376092"/>
          <x14:colorNegative rgb="FFD00000"/>
          <x14:colorAxis rgb="FF000000"/>
          <x14:colorMarkers rgb="FFD00000"/>
          <x14:colorFirst rgb="FFD00000"/>
          <x14:colorLast rgb="FFD00000"/>
          <x14:colorHigh rgb="FFD00000"/>
          <x14:colorLow rgb="FFD00000"/>
          <x14:sparklines>
            <x14:sparkline>
              <xm:f>'Task3_4 Dispersion&amp;Average Pric'!J4:R4</xm:f>
              <xm:sqref>AE4</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93"/>
  <sheetViews>
    <sheetView zoomScale="71" zoomScaleNormal="71" workbookViewId="0">
      <selection activeCell="Z13" sqref="Z13"/>
    </sheetView>
  </sheetViews>
  <sheetFormatPr defaultColWidth="9" defaultRowHeight="12.75"/>
  <cols>
    <col min="2" max="2" width="14.42578125" customWidth="1"/>
    <col min="3" max="3" width="13.7109375" customWidth="1"/>
    <col min="12" max="12" width="11" customWidth="1"/>
    <col min="13" max="13" width="12.85546875"/>
  </cols>
  <sheetData>
    <row r="1" spans="1:13">
      <c r="A1" s="1" t="s">
        <v>0</v>
      </c>
      <c r="B1" s="1" t="s">
        <v>1</v>
      </c>
      <c r="C1" s="1" t="s">
        <v>2</v>
      </c>
      <c r="D1" s="1" t="s">
        <v>3</v>
      </c>
      <c r="E1" s="1" t="s">
        <v>5</v>
      </c>
      <c r="F1" s="1" t="s">
        <v>7</v>
      </c>
      <c r="G1" s="1" t="s">
        <v>10</v>
      </c>
      <c r="H1" s="1" t="s">
        <v>340</v>
      </c>
    </row>
    <row r="2" spans="1:13">
      <c r="A2">
        <v>1983</v>
      </c>
      <c r="B2" t="s">
        <v>310</v>
      </c>
      <c r="C2" t="s">
        <v>316</v>
      </c>
      <c r="D2" s="2">
        <v>0.14000000000000001</v>
      </c>
      <c r="E2">
        <v>0.13500000000000001</v>
      </c>
      <c r="F2">
        <v>0.14299999999999999</v>
      </c>
      <c r="G2">
        <v>7.6399999999999996E-2</v>
      </c>
      <c r="H2" s="2">
        <f>AVERAGE(D2:F2)</f>
        <v>0.139333333333333</v>
      </c>
      <c r="K2" s="19" t="s">
        <v>347</v>
      </c>
      <c r="L2" s="19"/>
      <c r="M2" s="21">
        <f>CORREL(G2:G278,H2:H278)</f>
        <v>0.51378997540732896</v>
      </c>
    </row>
    <row r="3" spans="1:13">
      <c r="A3">
        <v>1983</v>
      </c>
      <c r="B3" t="s">
        <v>310</v>
      </c>
      <c r="C3" t="s">
        <v>312</v>
      </c>
      <c r="D3" s="2">
        <v>0.12</v>
      </c>
      <c r="E3" t="s">
        <v>16</v>
      </c>
      <c r="F3" t="s">
        <v>16</v>
      </c>
      <c r="G3">
        <v>7.6399999999999996E-2</v>
      </c>
      <c r="H3" s="2">
        <f t="shared" ref="H3:H65" si="0">AVERAGE(D3:F3)</f>
        <v>0.12</v>
      </c>
      <c r="K3" s="19" t="s">
        <v>348</v>
      </c>
      <c r="L3" s="19"/>
      <c r="M3" s="21">
        <f>CORREL(G279:G393,H279:H393)</f>
        <v>4.92769839047539E-2</v>
      </c>
    </row>
    <row r="4" spans="1:13">
      <c r="A4">
        <v>1983</v>
      </c>
      <c r="B4" t="s">
        <v>310</v>
      </c>
      <c r="C4" t="s">
        <v>312</v>
      </c>
      <c r="D4" s="2">
        <v>0.12</v>
      </c>
      <c r="E4">
        <v>0.11</v>
      </c>
      <c r="F4">
        <v>0.11</v>
      </c>
      <c r="G4">
        <v>7.6399999999999996E-2</v>
      </c>
      <c r="H4" s="2">
        <f t="shared" si="0"/>
        <v>0.11333333333333299</v>
      </c>
    </row>
    <row r="5" spans="1:13">
      <c r="A5">
        <v>1983</v>
      </c>
      <c r="B5" t="s">
        <v>310</v>
      </c>
      <c r="C5" t="s">
        <v>311</v>
      </c>
      <c r="D5" s="2">
        <v>0.12</v>
      </c>
      <c r="E5">
        <v>0.11899999999999999</v>
      </c>
      <c r="F5">
        <v>0.11899999999999999</v>
      </c>
      <c r="G5">
        <v>7.6399999999999996E-2</v>
      </c>
      <c r="H5" s="2">
        <f t="shared" si="0"/>
        <v>0.119333333333333</v>
      </c>
    </row>
    <row r="6" spans="1:13">
      <c r="A6">
        <v>1983</v>
      </c>
      <c r="B6" t="s">
        <v>310</v>
      </c>
      <c r="C6" t="s">
        <v>301</v>
      </c>
      <c r="D6" s="2" t="s">
        <v>16</v>
      </c>
      <c r="E6">
        <v>0.1143</v>
      </c>
      <c r="F6">
        <v>0.1143</v>
      </c>
      <c r="G6">
        <v>7.6399999999999996E-2</v>
      </c>
      <c r="H6" s="2">
        <f t="shared" si="0"/>
        <v>0.1143</v>
      </c>
    </row>
    <row r="7" spans="1:13">
      <c r="A7">
        <v>1983</v>
      </c>
      <c r="B7" t="s">
        <v>310</v>
      </c>
      <c r="C7" t="s">
        <v>312</v>
      </c>
      <c r="D7" s="2">
        <v>0.12</v>
      </c>
      <c r="E7">
        <v>0.11</v>
      </c>
      <c r="F7">
        <v>0.11</v>
      </c>
      <c r="G7">
        <v>7.6399999999999996E-2</v>
      </c>
      <c r="H7" s="2">
        <f t="shared" si="0"/>
        <v>0.11333333333333299</v>
      </c>
    </row>
    <row r="8" spans="1:13">
      <c r="A8">
        <v>1983</v>
      </c>
      <c r="B8" t="s">
        <v>310</v>
      </c>
      <c r="C8" t="s">
        <v>314</v>
      </c>
      <c r="D8" s="2">
        <v>0.1225</v>
      </c>
      <c r="E8">
        <v>0.1225</v>
      </c>
      <c r="F8">
        <v>0.1225</v>
      </c>
      <c r="G8">
        <v>7.6399999999999996E-2</v>
      </c>
      <c r="H8" s="2">
        <f t="shared" si="0"/>
        <v>0.1225</v>
      </c>
    </row>
    <row r="9" spans="1:13">
      <c r="A9">
        <v>1983</v>
      </c>
      <c r="B9" t="s">
        <v>310</v>
      </c>
      <c r="C9" t="s">
        <v>312</v>
      </c>
      <c r="D9" s="2">
        <v>0.12</v>
      </c>
      <c r="E9" t="s">
        <v>16</v>
      </c>
      <c r="F9">
        <v>0.11</v>
      </c>
      <c r="G9">
        <v>7.6399999999999996E-2</v>
      </c>
      <c r="H9" s="2">
        <f t="shared" si="0"/>
        <v>0.115</v>
      </c>
    </row>
    <row r="10" spans="1:13">
      <c r="A10">
        <v>1983</v>
      </c>
      <c r="B10" t="s">
        <v>310</v>
      </c>
      <c r="C10" t="s">
        <v>314</v>
      </c>
      <c r="D10" s="2">
        <v>0.129</v>
      </c>
      <c r="E10">
        <v>0.122</v>
      </c>
      <c r="F10">
        <v>0.122</v>
      </c>
      <c r="G10">
        <v>7.6399999999999996E-2</v>
      </c>
      <c r="H10" s="2">
        <f t="shared" si="0"/>
        <v>0.124333333333333</v>
      </c>
    </row>
    <row r="11" spans="1:13">
      <c r="A11">
        <v>1983</v>
      </c>
      <c r="B11" t="s">
        <v>310</v>
      </c>
      <c r="C11" t="s">
        <v>325</v>
      </c>
      <c r="D11" s="2">
        <v>0.13750000000000001</v>
      </c>
      <c r="E11">
        <v>0.13300000000000001</v>
      </c>
      <c r="F11">
        <v>0.14249999999999999</v>
      </c>
      <c r="G11">
        <v>7.6300000000000007E-2</v>
      </c>
      <c r="H11" s="2">
        <f t="shared" si="0"/>
        <v>0.13766666666666699</v>
      </c>
    </row>
    <row r="12" spans="1:13">
      <c r="A12">
        <v>1983</v>
      </c>
      <c r="B12" t="s">
        <v>310</v>
      </c>
      <c r="C12" t="s">
        <v>320</v>
      </c>
      <c r="D12" s="2">
        <v>0.13700000000000001</v>
      </c>
      <c r="E12">
        <v>0.1116</v>
      </c>
      <c r="F12">
        <v>0.13250000000000001</v>
      </c>
      <c r="G12">
        <v>7.6300000000000007E-2</v>
      </c>
      <c r="H12" s="2">
        <f t="shared" si="0"/>
        <v>0.127033333333333</v>
      </c>
    </row>
    <row r="13" spans="1:13">
      <c r="A13">
        <v>1983</v>
      </c>
      <c r="B13" t="s">
        <v>310</v>
      </c>
      <c r="C13" t="s">
        <v>312</v>
      </c>
      <c r="D13" s="2">
        <v>0.125</v>
      </c>
      <c r="E13">
        <v>0.125</v>
      </c>
      <c r="F13">
        <v>0.125</v>
      </c>
      <c r="G13">
        <v>7.6300000000000007E-2</v>
      </c>
      <c r="H13" s="2">
        <f t="shared" si="0"/>
        <v>0.125</v>
      </c>
    </row>
    <row r="14" spans="1:13">
      <c r="A14">
        <v>1983</v>
      </c>
      <c r="B14" t="s">
        <v>310</v>
      </c>
      <c r="C14" t="s">
        <v>43</v>
      </c>
      <c r="D14" s="2">
        <v>0.13</v>
      </c>
      <c r="E14">
        <v>0.12</v>
      </c>
      <c r="F14">
        <v>0.125</v>
      </c>
      <c r="G14">
        <v>7.6300000000000007E-2</v>
      </c>
      <c r="H14" s="2">
        <f t="shared" si="0"/>
        <v>0.125</v>
      </c>
    </row>
    <row r="15" spans="1:13">
      <c r="A15">
        <v>1983</v>
      </c>
      <c r="B15" t="s">
        <v>310</v>
      </c>
      <c r="C15" t="s">
        <v>313</v>
      </c>
      <c r="D15" s="2" t="s">
        <v>16</v>
      </c>
      <c r="E15">
        <v>0.13200000000000001</v>
      </c>
      <c r="F15">
        <v>0.13400000000000001</v>
      </c>
      <c r="G15">
        <v>7.6399999999999996E-2</v>
      </c>
      <c r="H15" s="2">
        <f t="shared" si="0"/>
        <v>0.13300000000000001</v>
      </c>
    </row>
    <row r="16" spans="1:13">
      <c r="A16">
        <v>1983</v>
      </c>
      <c r="B16" t="s">
        <v>310</v>
      </c>
      <c r="C16" t="s">
        <v>311</v>
      </c>
      <c r="D16" s="2">
        <v>0.1525</v>
      </c>
      <c r="E16">
        <v>0.15</v>
      </c>
      <c r="F16">
        <v>0.15</v>
      </c>
      <c r="G16">
        <v>7.6399999999999996E-2</v>
      </c>
      <c r="H16" s="2">
        <f t="shared" si="0"/>
        <v>0.15083333333333299</v>
      </c>
    </row>
    <row r="17" spans="1:8">
      <c r="A17">
        <v>1983</v>
      </c>
      <c r="B17" t="s">
        <v>310</v>
      </c>
      <c r="C17" t="s">
        <v>324</v>
      </c>
      <c r="D17" s="2" t="s">
        <v>16</v>
      </c>
      <c r="E17">
        <v>0.115</v>
      </c>
      <c r="F17">
        <v>0.1148</v>
      </c>
      <c r="G17">
        <v>7.6399999999999996E-2</v>
      </c>
      <c r="H17" s="2">
        <f t="shared" si="0"/>
        <v>0.1149</v>
      </c>
    </row>
    <row r="18" spans="1:8">
      <c r="A18">
        <v>1983</v>
      </c>
      <c r="B18" t="s">
        <v>310</v>
      </c>
      <c r="C18" t="s">
        <v>55</v>
      </c>
      <c r="D18" s="2">
        <v>0.1275</v>
      </c>
      <c r="E18">
        <v>0.12</v>
      </c>
      <c r="F18">
        <v>0.12</v>
      </c>
      <c r="G18">
        <v>7.6399999999999996E-2</v>
      </c>
      <c r="H18" s="2">
        <f t="shared" si="0"/>
        <v>0.1225</v>
      </c>
    </row>
    <row r="19" spans="1:8">
      <c r="A19">
        <v>1983</v>
      </c>
      <c r="B19" t="s">
        <v>310</v>
      </c>
      <c r="C19" t="s">
        <v>301</v>
      </c>
      <c r="D19" s="2">
        <v>0.11700000000000001</v>
      </c>
      <c r="E19" t="s">
        <v>16</v>
      </c>
      <c r="F19" t="s">
        <v>16</v>
      </c>
      <c r="G19">
        <v>7.6399999999999996E-2</v>
      </c>
      <c r="H19" s="2">
        <f t="shared" si="0"/>
        <v>0.11700000000000001</v>
      </c>
    </row>
    <row r="20" spans="1:8">
      <c r="A20">
        <v>1983</v>
      </c>
      <c r="B20" t="s">
        <v>310</v>
      </c>
      <c r="C20" t="s">
        <v>314</v>
      </c>
      <c r="D20" s="2">
        <v>0.16800000000000001</v>
      </c>
      <c r="E20">
        <v>0.16800000000000001</v>
      </c>
      <c r="F20">
        <v>0.16800000000000001</v>
      </c>
      <c r="G20">
        <v>7.6399999999999996E-2</v>
      </c>
      <c r="H20" s="2">
        <f t="shared" si="0"/>
        <v>0.16800000000000001</v>
      </c>
    </row>
    <row r="21" spans="1:8">
      <c r="A21">
        <v>1983</v>
      </c>
      <c r="B21" t="s">
        <v>310</v>
      </c>
      <c r="C21" t="s">
        <v>317</v>
      </c>
      <c r="D21" s="2">
        <v>0.1295</v>
      </c>
      <c r="E21">
        <v>0.1195</v>
      </c>
      <c r="F21">
        <v>0.1295</v>
      </c>
      <c r="G21">
        <v>7.6399999999999996E-2</v>
      </c>
      <c r="H21" s="2">
        <f t="shared" si="0"/>
        <v>0.12616666666666701</v>
      </c>
    </row>
    <row r="22" spans="1:8">
      <c r="A22">
        <v>1983</v>
      </c>
      <c r="B22" t="s">
        <v>310</v>
      </c>
      <c r="C22" t="s">
        <v>314</v>
      </c>
      <c r="D22" s="2">
        <v>0.16800000000000001</v>
      </c>
      <c r="E22">
        <v>0.16800000000000001</v>
      </c>
      <c r="F22">
        <v>0.16800000000000001</v>
      </c>
      <c r="G22">
        <v>7.6399999999999996E-2</v>
      </c>
      <c r="H22" s="2">
        <f t="shared" si="0"/>
        <v>0.16800000000000001</v>
      </c>
    </row>
    <row r="23" spans="1:8">
      <c r="A23">
        <v>1983</v>
      </c>
      <c r="B23" t="s">
        <v>310</v>
      </c>
      <c r="C23" t="s">
        <v>311</v>
      </c>
      <c r="D23" s="2">
        <v>0.1235</v>
      </c>
      <c r="E23">
        <v>0.111</v>
      </c>
      <c r="F23">
        <v>0.107</v>
      </c>
      <c r="G23">
        <v>7.6300000000000007E-2</v>
      </c>
      <c r="H23" s="2">
        <f t="shared" si="0"/>
        <v>0.11383333333333299</v>
      </c>
    </row>
    <row r="24" spans="1:8">
      <c r="A24">
        <v>1983</v>
      </c>
      <c r="B24" t="s">
        <v>310</v>
      </c>
      <c r="C24" t="s">
        <v>311</v>
      </c>
      <c r="D24" s="2">
        <v>0.1235</v>
      </c>
      <c r="E24">
        <v>0.1125</v>
      </c>
      <c r="F24">
        <v>0.1125</v>
      </c>
      <c r="G24">
        <v>7.6300000000000007E-2</v>
      </c>
      <c r="H24" s="2">
        <f t="shared" si="0"/>
        <v>0.116166666666667</v>
      </c>
    </row>
    <row r="25" spans="1:8">
      <c r="A25">
        <v>1983</v>
      </c>
      <c r="B25" t="s">
        <v>310</v>
      </c>
      <c r="C25" t="s">
        <v>55</v>
      </c>
      <c r="D25" s="2" t="s">
        <v>16</v>
      </c>
      <c r="E25">
        <v>0.11</v>
      </c>
      <c r="F25" t="s">
        <v>16</v>
      </c>
      <c r="G25">
        <v>7.6300000000000007E-2</v>
      </c>
      <c r="H25" s="2">
        <f t="shared" si="0"/>
        <v>0.11</v>
      </c>
    </row>
    <row r="26" spans="1:8">
      <c r="A26">
        <v>1983</v>
      </c>
      <c r="B26" t="s">
        <v>310</v>
      </c>
      <c r="C26" t="s">
        <v>319</v>
      </c>
      <c r="D26" s="2">
        <v>0.14000000000000001</v>
      </c>
      <c r="E26">
        <v>0.1105</v>
      </c>
      <c r="F26">
        <v>0.123</v>
      </c>
      <c r="G26">
        <v>7.6300000000000007E-2</v>
      </c>
      <c r="H26" s="2">
        <f t="shared" si="0"/>
        <v>0.1245</v>
      </c>
    </row>
    <row r="27" spans="1:8">
      <c r="A27">
        <v>1983</v>
      </c>
      <c r="B27" t="s">
        <v>310</v>
      </c>
      <c r="C27" t="s">
        <v>314</v>
      </c>
      <c r="D27" s="2">
        <v>0.1295</v>
      </c>
      <c r="E27">
        <v>0.1295</v>
      </c>
      <c r="F27">
        <v>0.1245</v>
      </c>
      <c r="G27">
        <v>7.6300000000000007E-2</v>
      </c>
      <c r="H27" s="2">
        <f t="shared" si="0"/>
        <v>0.12783333333333299</v>
      </c>
    </row>
    <row r="28" spans="1:8">
      <c r="A28">
        <v>1983</v>
      </c>
      <c r="B28" t="s">
        <v>310</v>
      </c>
      <c r="C28" t="s">
        <v>314</v>
      </c>
      <c r="D28" s="2" t="s">
        <v>16</v>
      </c>
      <c r="E28">
        <v>0.1138</v>
      </c>
      <c r="F28">
        <v>0.1138</v>
      </c>
      <c r="G28">
        <v>7.6300000000000007E-2</v>
      </c>
      <c r="H28" s="2">
        <f t="shared" si="0"/>
        <v>0.1138</v>
      </c>
    </row>
    <row r="29" spans="1:8">
      <c r="A29">
        <v>1983</v>
      </c>
      <c r="B29" t="s">
        <v>310</v>
      </c>
      <c r="C29" t="s">
        <v>314</v>
      </c>
      <c r="D29" s="2">
        <v>0.1295</v>
      </c>
      <c r="E29">
        <v>0.1295</v>
      </c>
      <c r="F29">
        <v>0.1245</v>
      </c>
      <c r="G29">
        <v>7.6399999999999996E-2</v>
      </c>
      <c r="H29" s="2">
        <f t="shared" si="0"/>
        <v>0.12783333333333299</v>
      </c>
    </row>
    <row r="30" spans="1:8">
      <c r="A30">
        <v>1984</v>
      </c>
      <c r="B30" t="s">
        <v>310</v>
      </c>
      <c r="C30" t="s">
        <v>312</v>
      </c>
      <c r="D30" s="2">
        <v>0.127</v>
      </c>
      <c r="E30">
        <v>0.127</v>
      </c>
      <c r="F30">
        <v>0.127</v>
      </c>
      <c r="G30">
        <v>7.4099999999999999E-2</v>
      </c>
      <c r="H30" s="2">
        <f t="shared" si="0"/>
        <v>0.127</v>
      </c>
    </row>
    <row r="31" spans="1:8">
      <c r="A31">
        <v>1984</v>
      </c>
      <c r="B31" t="s">
        <v>310</v>
      </c>
      <c r="C31" t="s">
        <v>316</v>
      </c>
      <c r="D31" s="2">
        <v>0.1421</v>
      </c>
      <c r="E31">
        <v>0.13769999999999999</v>
      </c>
      <c r="F31">
        <v>0.14580000000000001</v>
      </c>
      <c r="G31">
        <v>7.3999999999999996E-2</v>
      </c>
      <c r="H31" s="2">
        <f t="shared" si="0"/>
        <v>0.141866666666667</v>
      </c>
    </row>
    <row r="32" spans="1:8">
      <c r="A32">
        <v>1984</v>
      </c>
      <c r="B32" t="s">
        <v>310</v>
      </c>
      <c r="C32" t="s">
        <v>312</v>
      </c>
      <c r="D32" s="2">
        <v>0.1255</v>
      </c>
      <c r="E32">
        <v>0.11799999999999999</v>
      </c>
      <c r="F32">
        <v>0.123</v>
      </c>
      <c r="G32">
        <v>7.3999999999999996E-2</v>
      </c>
      <c r="H32" s="2">
        <f t="shared" si="0"/>
        <v>0.12216666666666701</v>
      </c>
    </row>
    <row r="33" spans="1:8">
      <c r="A33">
        <v>1984</v>
      </c>
      <c r="B33" t="s">
        <v>310</v>
      </c>
      <c r="C33" t="s">
        <v>312</v>
      </c>
      <c r="D33" s="2">
        <v>0.127</v>
      </c>
      <c r="E33">
        <v>0.11700000000000001</v>
      </c>
      <c r="F33">
        <v>0.11700000000000001</v>
      </c>
      <c r="G33">
        <v>7.3999999999999996E-2</v>
      </c>
      <c r="H33" s="2">
        <f t="shared" si="0"/>
        <v>0.120333333333333</v>
      </c>
    </row>
    <row r="34" spans="1:8">
      <c r="A34">
        <v>1984</v>
      </c>
      <c r="B34" t="s">
        <v>310</v>
      </c>
      <c r="C34" t="s">
        <v>299</v>
      </c>
      <c r="D34" s="2">
        <v>0.13500000000000001</v>
      </c>
      <c r="E34">
        <v>0.125</v>
      </c>
      <c r="F34">
        <v>0.13150000000000001</v>
      </c>
      <c r="G34">
        <v>7.4099999999999999E-2</v>
      </c>
      <c r="H34" s="2">
        <f t="shared" si="0"/>
        <v>0.1305</v>
      </c>
    </row>
    <row r="35" spans="1:8">
      <c r="A35">
        <v>1984</v>
      </c>
      <c r="B35" t="s">
        <v>310</v>
      </c>
      <c r="C35" t="s">
        <v>55</v>
      </c>
      <c r="D35" s="2" t="s">
        <v>16</v>
      </c>
      <c r="E35">
        <v>0.112</v>
      </c>
      <c r="F35">
        <v>0.112</v>
      </c>
      <c r="G35">
        <v>7.4099999999999999E-2</v>
      </c>
      <c r="H35" s="2">
        <f t="shared" si="0"/>
        <v>0.112</v>
      </c>
    </row>
    <row r="36" spans="1:8">
      <c r="A36">
        <v>1984</v>
      </c>
      <c r="B36" t="s">
        <v>310</v>
      </c>
      <c r="C36" t="s">
        <v>312</v>
      </c>
      <c r="D36" s="2">
        <v>0.126</v>
      </c>
      <c r="E36">
        <v>0.11600000000000001</v>
      </c>
      <c r="F36" t="s">
        <v>16</v>
      </c>
      <c r="G36">
        <v>7.4099999999999999E-2</v>
      </c>
      <c r="H36" s="2">
        <f t="shared" si="0"/>
        <v>0.121</v>
      </c>
    </row>
    <row r="37" spans="1:8">
      <c r="A37">
        <v>1984</v>
      </c>
      <c r="B37" t="s">
        <v>310</v>
      </c>
      <c r="C37" t="s">
        <v>299</v>
      </c>
      <c r="D37" s="2">
        <v>0.128</v>
      </c>
      <c r="E37">
        <v>0.12</v>
      </c>
      <c r="F37">
        <v>0.122</v>
      </c>
      <c r="G37">
        <v>7.4099999999999999E-2</v>
      </c>
      <c r="H37" s="2">
        <f t="shared" si="0"/>
        <v>0.123333333333333</v>
      </c>
    </row>
    <row r="38" spans="1:8">
      <c r="A38">
        <v>1984</v>
      </c>
      <c r="B38" t="s">
        <v>310</v>
      </c>
      <c r="C38" t="s">
        <v>312</v>
      </c>
      <c r="D38" s="2">
        <v>0.125</v>
      </c>
      <c r="E38" t="s">
        <v>16</v>
      </c>
      <c r="F38" t="s">
        <v>16</v>
      </c>
      <c r="G38">
        <v>7.4099999999999999E-2</v>
      </c>
      <c r="H38" s="2">
        <f t="shared" si="0"/>
        <v>0.125</v>
      </c>
    </row>
    <row r="39" spans="1:8">
      <c r="A39">
        <v>1984</v>
      </c>
      <c r="B39" t="s">
        <v>310</v>
      </c>
      <c r="C39" t="s">
        <v>312</v>
      </c>
      <c r="D39" s="2">
        <v>0.125</v>
      </c>
      <c r="E39">
        <v>0.11799999999999999</v>
      </c>
      <c r="F39">
        <v>0.122</v>
      </c>
      <c r="G39">
        <v>7.4099999999999999E-2</v>
      </c>
      <c r="H39" s="2">
        <f t="shared" si="0"/>
        <v>0.12166666666666701</v>
      </c>
    </row>
    <row r="40" spans="1:8">
      <c r="A40">
        <v>1984</v>
      </c>
      <c r="B40" t="s">
        <v>310</v>
      </c>
      <c r="C40" t="s">
        <v>311</v>
      </c>
      <c r="D40" s="2">
        <v>0.1225</v>
      </c>
      <c r="E40">
        <v>0.1154</v>
      </c>
      <c r="F40">
        <v>0.1145</v>
      </c>
      <c r="G40">
        <v>7.4099999999999999E-2</v>
      </c>
      <c r="H40" s="2">
        <f t="shared" si="0"/>
        <v>0.117466666666667</v>
      </c>
    </row>
    <row r="41" spans="1:8">
      <c r="A41">
        <v>1984</v>
      </c>
      <c r="B41" t="s">
        <v>310</v>
      </c>
      <c r="C41" t="s">
        <v>312</v>
      </c>
      <c r="D41" s="2">
        <v>0.125</v>
      </c>
      <c r="E41">
        <v>0.125</v>
      </c>
      <c r="F41">
        <v>0.125</v>
      </c>
      <c r="G41">
        <v>7.4099999999999999E-2</v>
      </c>
      <c r="H41" s="2">
        <f t="shared" si="0"/>
        <v>0.125</v>
      </c>
    </row>
    <row r="42" spans="1:8">
      <c r="A42">
        <v>1984</v>
      </c>
      <c r="B42" t="s">
        <v>310</v>
      </c>
      <c r="C42" t="s">
        <v>43</v>
      </c>
      <c r="D42" s="2">
        <v>0.1295</v>
      </c>
      <c r="E42">
        <v>0.12</v>
      </c>
      <c r="F42">
        <v>0.125</v>
      </c>
      <c r="G42">
        <v>7.4099999999999999E-2</v>
      </c>
      <c r="H42" s="2">
        <f t="shared" si="0"/>
        <v>0.124833333333333</v>
      </c>
    </row>
    <row r="43" spans="1:8">
      <c r="A43">
        <v>1984</v>
      </c>
      <c r="B43" t="s">
        <v>310</v>
      </c>
      <c r="C43" t="s">
        <v>311</v>
      </c>
      <c r="D43" s="2">
        <v>0.1106</v>
      </c>
      <c r="E43" t="s">
        <v>16</v>
      </c>
      <c r="F43">
        <v>0.1095</v>
      </c>
      <c r="G43">
        <v>7.3999999999999996E-2</v>
      </c>
      <c r="H43" s="2">
        <f t="shared" si="0"/>
        <v>0.11005</v>
      </c>
    </row>
    <row r="44" spans="1:8">
      <c r="A44">
        <v>1984</v>
      </c>
      <c r="B44" t="s">
        <v>310</v>
      </c>
      <c r="C44" t="s">
        <v>314</v>
      </c>
      <c r="D44" s="2">
        <v>0.16800000000000001</v>
      </c>
      <c r="E44">
        <v>0.16800000000000001</v>
      </c>
      <c r="F44">
        <v>0.16800000000000001</v>
      </c>
      <c r="G44">
        <v>7.3999999999999996E-2</v>
      </c>
      <c r="H44" s="2">
        <f t="shared" si="0"/>
        <v>0.16800000000000001</v>
      </c>
    </row>
    <row r="45" spans="1:8">
      <c r="A45">
        <v>1984</v>
      </c>
      <c r="B45" t="s">
        <v>310</v>
      </c>
      <c r="C45" t="s">
        <v>319</v>
      </c>
      <c r="D45" s="2">
        <v>0.14000000000000001</v>
      </c>
      <c r="E45">
        <v>0.11899999999999999</v>
      </c>
      <c r="F45">
        <v>0.12</v>
      </c>
      <c r="G45">
        <v>7.3999999999999996E-2</v>
      </c>
      <c r="H45" s="2">
        <f t="shared" si="0"/>
        <v>0.12633333333333299</v>
      </c>
    </row>
    <row r="46" spans="1:8">
      <c r="A46">
        <v>1984</v>
      </c>
      <c r="B46" t="s">
        <v>310</v>
      </c>
      <c r="C46" t="s">
        <v>311</v>
      </c>
      <c r="D46" s="2" t="s">
        <v>16</v>
      </c>
      <c r="E46">
        <v>0.125</v>
      </c>
      <c r="F46">
        <v>0.123</v>
      </c>
      <c r="G46">
        <v>7.3999999999999996E-2</v>
      </c>
      <c r="H46" s="2">
        <f t="shared" si="0"/>
        <v>0.124</v>
      </c>
    </row>
    <row r="47" spans="1:8">
      <c r="A47">
        <v>1984</v>
      </c>
      <c r="B47" t="s">
        <v>310</v>
      </c>
      <c r="C47" t="s">
        <v>311</v>
      </c>
      <c r="D47" s="2">
        <v>0.1295</v>
      </c>
      <c r="E47">
        <v>0.123</v>
      </c>
      <c r="F47">
        <v>0.123</v>
      </c>
      <c r="G47">
        <v>7.3999999999999996E-2</v>
      </c>
      <c r="H47" s="2">
        <f t="shared" si="0"/>
        <v>0.12516666666666701</v>
      </c>
    </row>
    <row r="48" spans="1:8">
      <c r="A48">
        <v>1984</v>
      </c>
      <c r="B48" t="s">
        <v>310</v>
      </c>
      <c r="C48" t="s">
        <v>319</v>
      </c>
      <c r="D48" s="2" t="s">
        <v>16</v>
      </c>
      <c r="E48">
        <v>0.11700000000000001</v>
      </c>
      <c r="F48">
        <v>0.1168</v>
      </c>
      <c r="G48">
        <v>7.4099999999999999E-2</v>
      </c>
      <c r="H48" s="2">
        <f t="shared" si="0"/>
        <v>0.1169</v>
      </c>
    </row>
    <row r="49" spans="1:8">
      <c r="A49">
        <v>1984</v>
      </c>
      <c r="B49" t="s">
        <v>310</v>
      </c>
      <c r="C49" t="s">
        <v>324</v>
      </c>
      <c r="D49" s="2">
        <v>0.125</v>
      </c>
      <c r="E49">
        <v>0.11749999999999999</v>
      </c>
      <c r="F49">
        <v>0.11799999999999999</v>
      </c>
      <c r="G49">
        <v>7.4099999999999999E-2</v>
      </c>
      <c r="H49" s="2">
        <f t="shared" si="0"/>
        <v>0.120166666666667</v>
      </c>
    </row>
    <row r="50" spans="1:8">
      <c r="A50">
        <v>1984</v>
      </c>
      <c r="B50" t="s">
        <v>310</v>
      </c>
      <c r="C50" t="s">
        <v>317</v>
      </c>
      <c r="D50" s="2" t="s">
        <v>16</v>
      </c>
      <c r="E50">
        <v>0.1195</v>
      </c>
      <c r="F50">
        <v>0.1265</v>
      </c>
      <c r="G50">
        <v>7.4099999999999999E-2</v>
      </c>
      <c r="H50" s="2">
        <f t="shared" si="0"/>
        <v>0.123</v>
      </c>
    </row>
    <row r="51" spans="1:8">
      <c r="A51">
        <v>1984</v>
      </c>
      <c r="B51" t="s">
        <v>310</v>
      </c>
      <c r="C51" t="s">
        <v>314</v>
      </c>
      <c r="D51" s="2">
        <v>0.16800000000000001</v>
      </c>
      <c r="E51">
        <v>0.16800000000000001</v>
      </c>
      <c r="F51">
        <v>0.16800000000000001</v>
      </c>
      <c r="G51">
        <v>7.4099999999999999E-2</v>
      </c>
      <c r="H51" s="2">
        <f t="shared" si="0"/>
        <v>0.16800000000000001</v>
      </c>
    </row>
    <row r="52" spans="1:8">
      <c r="A52">
        <v>1984</v>
      </c>
      <c r="B52" t="s">
        <v>310</v>
      </c>
      <c r="C52" t="s">
        <v>55</v>
      </c>
      <c r="D52" s="2">
        <v>0.1265</v>
      </c>
      <c r="E52">
        <v>0.125</v>
      </c>
      <c r="F52">
        <v>0.1225</v>
      </c>
      <c r="G52">
        <v>7.4099999999999999E-2</v>
      </c>
      <c r="H52" s="2">
        <f t="shared" si="0"/>
        <v>0.12466666666666699</v>
      </c>
    </row>
    <row r="53" spans="1:8">
      <c r="A53">
        <v>1984</v>
      </c>
      <c r="B53" t="s">
        <v>310</v>
      </c>
      <c r="C53" t="s">
        <v>311</v>
      </c>
      <c r="D53" s="2">
        <v>0.12</v>
      </c>
      <c r="E53">
        <v>0.111</v>
      </c>
      <c r="F53">
        <v>0.11</v>
      </c>
      <c r="G53">
        <v>7.4099999999999999E-2</v>
      </c>
      <c r="H53" s="2">
        <f t="shared" si="0"/>
        <v>0.113666666666667</v>
      </c>
    </row>
    <row r="54" spans="1:8">
      <c r="A54">
        <v>1984</v>
      </c>
      <c r="B54" t="s">
        <v>310</v>
      </c>
      <c r="C54" t="s">
        <v>311</v>
      </c>
      <c r="D54" s="2">
        <v>0.12</v>
      </c>
      <c r="E54">
        <v>0.111</v>
      </c>
      <c r="F54">
        <v>0.11</v>
      </c>
      <c r="G54">
        <v>7.4099999999999999E-2</v>
      </c>
      <c r="H54" s="2">
        <f t="shared" si="0"/>
        <v>0.113666666666667</v>
      </c>
    </row>
    <row r="55" spans="1:8">
      <c r="A55">
        <v>1984</v>
      </c>
      <c r="B55" t="s">
        <v>310</v>
      </c>
      <c r="C55" t="s">
        <v>55</v>
      </c>
      <c r="D55" s="2" t="s">
        <v>16</v>
      </c>
      <c r="E55">
        <v>0.11</v>
      </c>
      <c r="F55" t="s">
        <v>16</v>
      </c>
      <c r="G55">
        <v>7.4099999999999999E-2</v>
      </c>
      <c r="H55" s="2">
        <f t="shared" si="0"/>
        <v>0.11</v>
      </c>
    </row>
    <row r="56" spans="1:8">
      <c r="A56">
        <v>1984</v>
      </c>
      <c r="B56" t="s">
        <v>310</v>
      </c>
      <c r="C56" t="s">
        <v>314</v>
      </c>
      <c r="D56" s="2">
        <v>0.13450000000000001</v>
      </c>
      <c r="E56">
        <v>0.13450000000000001</v>
      </c>
      <c r="F56">
        <v>0.13450000000000001</v>
      </c>
      <c r="G56">
        <v>7.4099999999999999E-2</v>
      </c>
      <c r="H56" s="2">
        <f t="shared" si="0"/>
        <v>0.13450000000000001</v>
      </c>
    </row>
    <row r="57" spans="1:8">
      <c r="A57">
        <v>1984</v>
      </c>
      <c r="B57" t="s">
        <v>310</v>
      </c>
      <c r="C57" t="s">
        <v>321</v>
      </c>
      <c r="D57" s="2" t="s">
        <v>16</v>
      </c>
      <c r="E57">
        <v>0.1132</v>
      </c>
      <c r="F57">
        <v>0.1132</v>
      </c>
      <c r="G57">
        <v>7.4099999999999999E-2</v>
      </c>
      <c r="H57" s="2">
        <f t="shared" si="0"/>
        <v>0.1132</v>
      </c>
    </row>
    <row r="58" spans="1:8">
      <c r="A58">
        <v>1985</v>
      </c>
      <c r="B58" t="s">
        <v>310</v>
      </c>
      <c r="C58" t="s">
        <v>311</v>
      </c>
      <c r="D58" s="2">
        <v>0.125</v>
      </c>
      <c r="E58">
        <v>0.125</v>
      </c>
      <c r="F58">
        <v>0.125</v>
      </c>
      <c r="G58">
        <v>7.3400000000000007E-2</v>
      </c>
      <c r="H58" s="2">
        <f t="shared" si="0"/>
        <v>0.125</v>
      </c>
    </row>
    <row r="59" spans="1:8">
      <c r="A59">
        <v>1985</v>
      </c>
      <c r="B59" t="s">
        <v>310</v>
      </c>
      <c r="C59" t="s">
        <v>312</v>
      </c>
      <c r="D59" s="2">
        <v>0.129</v>
      </c>
      <c r="E59">
        <v>0.11899999999999999</v>
      </c>
      <c r="F59">
        <v>0.124</v>
      </c>
      <c r="G59">
        <v>7.1599999999999997E-2</v>
      </c>
      <c r="H59" s="2">
        <f t="shared" si="0"/>
        <v>0.124</v>
      </c>
    </row>
    <row r="60" spans="1:8">
      <c r="A60">
        <v>1985</v>
      </c>
      <c r="B60" t="s">
        <v>310</v>
      </c>
      <c r="C60" t="s">
        <v>315</v>
      </c>
      <c r="D60" s="2">
        <v>0.129</v>
      </c>
      <c r="E60">
        <v>0.125</v>
      </c>
      <c r="F60">
        <v>0.13800000000000001</v>
      </c>
      <c r="G60">
        <v>7.0699999999999999E-2</v>
      </c>
      <c r="H60" s="2">
        <f t="shared" si="0"/>
        <v>0.13066666666666699</v>
      </c>
    </row>
    <row r="61" spans="1:8">
      <c r="A61">
        <v>1985</v>
      </c>
      <c r="B61" t="s">
        <v>310</v>
      </c>
      <c r="C61" t="s">
        <v>312</v>
      </c>
      <c r="D61" s="2">
        <v>0.129</v>
      </c>
      <c r="E61">
        <v>0.122</v>
      </c>
      <c r="F61">
        <v>0.126</v>
      </c>
      <c r="G61">
        <v>7.0699999999999999E-2</v>
      </c>
      <c r="H61" s="2">
        <f t="shared" si="0"/>
        <v>0.12566666666666701</v>
      </c>
    </row>
    <row r="62" spans="1:8">
      <c r="A62">
        <v>1985</v>
      </c>
      <c r="B62" t="s">
        <v>310</v>
      </c>
      <c r="C62" t="s">
        <v>301</v>
      </c>
      <c r="D62" s="2" t="s">
        <v>16</v>
      </c>
      <c r="E62">
        <v>0.1079</v>
      </c>
      <c r="F62">
        <v>0.1079</v>
      </c>
      <c r="G62">
        <v>7.0699999999999999E-2</v>
      </c>
      <c r="H62" s="2">
        <f t="shared" si="0"/>
        <v>0.1079</v>
      </c>
    </row>
    <row r="63" spans="1:8">
      <c r="A63">
        <v>1985</v>
      </c>
      <c r="B63" t="s">
        <v>310</v>
      </c>
      <c r="C63" t="s">
        <v>312</v>
      </c>
      <c r="D63" s="2">
        <v>0.13100000000000001</v>
      </c>
      <c r="E63">
        <v>0.121</v>
      </c>
      <c r="F63" t="s">
        <v>16</v>
      </c>
      <c r="G63">
        <v>7.0699999999999999E-2</v>
      </c>
      <c r="H63" s="2">
        <f t="shared" si="0"/>
        <v>0.126</v>
      </c>
    </row>
    <row r="64" spans="1:8">
      <c r="A64">
        <v>1985</v>
      </c>
      <c r="B64" t="s">
        <v>310</v>
      </c>
      <c r="C64" t="s">
        <v>299</v>
      </c>
      <c r="D64" s="2">
        <v>0.1225</v>
      </c>
      <c r="E64">
        <v>0.113</v>
      </c>
      <c r="F64">
        <v>0.1099</v>
      </c>
      <c r="G64">
        <v>7.0699999999999999E-2</v>
      </c>
      <c r="H64" s="2">
        <f t="shared" si="0"/>
        <v>0.115133333333333</v>
      </c>
    </row>
    <row r="65" spans="1:8">
      <c r="A65">
        <v>1985</v>
      </c>
      <c r="B65" t="s">
        <v>310</v>
      </c>
      <c r="C65" t="s">
        <v>311</v>
      </c>
      <c r="D65" s="2">
        <v>0.1225</v>
      </c>
      <c r="E65" t="s">
        <v>16</v>
      </c>
      <c r="F65">
        <v>0.12</v>
      </c>
      <c r="G65">
        <v>7.0699999999999999E-2</v>
      </c>
      <c r="H65" s="2">
        <f t="shared" si="0"/>
        <v>0.12125</v>
      </c>
    </row>
    <row r="66" spans="1:8">
      <c r="A66">
        <v>1985</v>
      </c>
      <c r="B66" t="s">
        <v>310</v>
      </c>
      <c r="C66" t="s">
        <v>301</v>
      </c>
      <c r="D66" s="2">
        <v>0.123</v>
      </c>
      <c r="E66">
        <v>0.113</v>
      </c>
      <c r="F66">
        <v>0.112</v>
      </c>
      <c r="G66">
        <v>7.0699999999999999E-2</v>
      </c>
      <c r="H66" s="2">
        <f t="shared" ref="H66:H129" si="1">AVERAGE(D66:F66)</f>
        <v>0.11600000000000001</v>
      </c>
    </row>
    <row r="67" spans="1:8">
      <c r="A67">
        <v>1985</v>
      </c>
      <c r="B67" t="s">
        <v>310</v>
      </c>
      <c r="C67" t="s">
        <v>299</v>
      </c>
      <c r="D67" s="2">
        <v>0.125</v>
      </c>
      <c r="E67">
        <v>0.1145</v>
      </c>
      <c r="F67">
        <v>0.114</v>
      </c>
      <c r="G67">
        <v>7.0699999999999999E-2</v>
      </c>
      <c r="H67" s="2">
        <f t="shared" si="1"/>
        <v>0.117833333333333</v>
      </c>
    </row>
    <row r="68" spans="1:8">
      <c r="A68">
        <v>1985</v>
      </c>
      <c r="B68" t="s">
        <v>310</v>
      </c>
      <c r="C68" t="s">
        <v>312</v>
      </c>
      <c r="D68" s="2">
        <v>0.1275</v>
      </c>
      <c r="E68">
        <v>0.125</v>
      </c>
      <c r="F68">
        <v>0.125</v>
      </c>
      <c r="G68">
        <v>7.0699999999999999E-2</v>
      </c>
      <c r="H68" s="2">
        <f t="shared" si="1"/>
        <v>0.12583333333333299</v>
      </c>
    </row>
    <row r="69" spans="1:8">
      <c r="A69">
        <v>1985</v>
      </c>
      <c r="B69" t="s">
        <v>310</v>
      </c>
      <c r="C69" t="s">
        <v>312</v>
      </c>
      <c r="D69" s="2">
        <v>0.13</v>
      </c>
      <c r="E69" t="s">
        <v>16</v>
      </c>
      <c r="F69" t="s">
        <v>16</v>
      </c>
      <c r="G69">
        <v>6.93E-2</v>
      </c>
      <c r="H69" s="2">
        <f t="shared" si="1"/>
        <v>0.13</v>
      </c>
    </row>
    <row r="70" spans="1:8">
      <c r="A70">
        <v>1985</v>
      </c>
      <c r="B70" t="s">
        <v>310</v>
      </c>
      <c r="C70" t="s">
        <v>299</v>
      </c>
      <c r="D70" s="2">
        <v>0.128</v>
      </c>
      <c r="E70">
        <v>0.125</v>
      </c>
      <c r="F70">
        <v>0.13150000000000001</v>
      </c>
      <c r="G70">
        <v>6.93E-2</v>
      </c>
      <c r="H70" s="2">
        <f t="shared" si="1"/>
        <v>0.12816666666666701</v>
      </c>
    </row>
    <row r="71" spans="1:8">
      <c r="A71">
        <v>1985</v>
      </c>
      <c r="B71" t="s">
        <v>310</v>
      </c>
      <c r="C71" t="s">
        <v>301</v>
      </c>
      <c r="D71" s="2">
        <v>0.12</v>
      </c>
      <c r="E71">
        <v>0.111</v>
      </c>
      <c r="F71">
        <v>0.109</v>
      </c>
      <c r="G71">
        <v>6.93E-2</v>
      </c>
      <c r="H71" s="2">
        <f t="shared" si="1"/>
        <v>0.11333333333333299</v>
      </c>
    </row>
    <row r="72" spans="1:8">
      <c r="A72">
        <v>1985</v>
      </c>
      <c r="B72" t="s">
        <v>310</v>
      </c>
      <c r="C72" t="s">
        <v>311</v>
      </c>
      <c r="D72" s="2">
        <v>0.12</v>
      </c>
      <c r="E72">
        <v>0.11</v>
      </c>
      <c r="F72">
        <v>0.1085</v>
      </c>
      <c r="G72">
        <v>6.93E-2</v>
      </c>
      <c r="H72" s="2">
        <f t="shared" si="1"/>
        <v>0.11283333333333299</v>
      </c>
    </row>
    <row r="73" spans="1:8">
      <c r="A73">
        <v>1985</v>
      </c>
      <c r="B73" t="s">
        <v>310</v>
      </c>
      <c r="C73" t="s">
        <v>43</v>
      </c>
      <c r="D73" s="2">
        <v>0.1275</v>
      </c>
      <c r="E73">
        <v>0.11799999999999999</v>
      </c>
      <c r="F73">
        <v>0.123</v>
      </c>
      <c r="G73">
        <v>6.93E-2</v>
      </c>
      <c r="H73" s="2">
        <f t="shared" si="1"/>
        <v>0.122833333333333</v>
      </c>
    </row>
    <row r="74" spans="1:8">
      <c r="A74">
        <v>1985</v>
      </c>
      <c r="B74" t="s">
        <v>310</v>
      </c>
      <c r="C74" t="s">
        <v>311</v>
      </c>
      <c r="D74" s="2">
        <v>0.12</v>
      </c>
      <c r="E74">
        <v>0.111</v>
      </c>
      <c r="F74">
        <v>0.109</v>
      </c>
      <c r="G74">
        <v>7.1599999999999997E-2</v>
      </c>
      <c r="H74" s="2">
        <f t="shared" si="1"/>
        <v>0.11333333333333299</v>
      </c>
    </row>
    <row r="75" spans="1:8">
      <c r="A75">
        <v>1985</v>
      </c>
      <c r="B75" t="s">
        <v>310</v>
      </c>
      <c r="C75" t="s">
        <v>324</v>
      </c>
      <c r="D75" s="2">
        <v>0.1125</v>
      </c>
      <c r="E75">
        <v>0.105</v>
      </c>
      <c r="F75">
        <v>0.10299999999999999</v>
      </c>
      <c r="G75">
        <v>7.1599999999999997E-2</v>
      </c>
      <c r="H75" s="2">
        <f t="shared" si="1"/>
        <v>0.106833333333333</v>
      </c>
    </row>
    <row r="76" spans="1:8">
      <c r="A76">
        <v>1985</v>
      </c>
      <c r="B76" t="s">
        <v>310</v>
      </c>
      <c r="C76" t="s">
        <v>311</v>
      </c>
      <c r="D76" s="2">
        <v>0.10879999999999999</v>
      </c>
      <c r="E76" t="s">
        <v>16</v>
      </c>
      <c r="F76">
        <v>0.1056</v>
      </c>
      <c r="G76">
        <v>7.1599999999999997E-2</v>
      </c>
      <c r="H76" s="2">
        <f t="shared" si="1"/>
        <v>0.1072</v>
      </c>
    </row>
    <row r="77" spans="1:8">
      <c r="A77">
        <v>1985</v>
      </c>
      <c r="B77" t="s">
        <v>310</v>
      </c>
      <c r="C77" t="s">
        <v>314</v>
      </c>
      <c r="D77" s="2">
        <v>0.16800000000000001</v>
      </c>
      <c r="E77">
        <v>0.16800000000000001</v>
      </c>
      <c r="F77">
        <v>0.16800000000000001</v>
      </c>
      <c r="G77">
        <v>7.1599999999999997E-2</v>
      </c>
      <c r="H77" s="2">
        <f t="shared" si="1"/>
        <v>0.16800000000000001</v>
      </c>
    </row>
    <row r="78" spans="1:8">
      <c r="A78">
        <v>1985</v>
      </c>
      <c r="B78" t="s">
        <v>310</v>
      </c>
      <c r="C78" t="s">
        <v>311</v>
      </c>
      <c r="D78" s="2" t="s">
        <v>16</v>
      </c>
      <c r="E78">
        <v>0.12</v>
      </c>
      <c r="F78">
        <v>0.11749999999999999</v>
      </c>
      <c r="G78">
        <v>7.1599999999999997E-2</v>
      </c>
      <c r="H78" s="2">
        <f t="shared" si="1"/>
        <v>0.11874999999999999</v>
      </c>
    </row>
    <row r="79" spans="1:8">
      <c r="A79">
        <v>1985</v>
      </c>
      <c r="B79" t="s">
        <v>310</v>
      </c>
      <c r="C79" t="s">
        <v>55</v>
      </c>
      <c r="D79" s="2">
        <v>0.125</v>
      </c>
      <c r="E79">
        <v>0.115</v>
      </c>
      <c r="F79" t="s">
        <v>16</v>
      </c>
      <c r="G79">
        <v>7.0699999999999999E-2</v>
      </c>
      <c r="H79" s="2">
        <f t="shared" si="1"/>
        <v>0.12</v>
      </c>
    </row>
    <row r="80" spans="1:8">
      <c r="A80">
        <v>1985</v>
      </c>
      <c r="B80" t="s">
        <v>310</v>
      </c>
      <c r="C80" t="s">
        <v>318</v>
      </c>
      <c r="D80" s="2" t="s">
        <v>16</v>
      </c>
      <c r="E80">
        <v>0.1153</v>
      </c>
      <c r="F80">
        <v>0.1153</v>
      </c>
      <c r="G80">
        <v>7.0699999999999999E-2</v>
      </c>
      <c r="H80" s="2">
        <f t="shared" si="1"/>
        <v>0.1153</v>
      </c>
    </row>
    <row r="81" spans="1:8">
      <c r="A81">
        <v>1985</v>
      </c>
      <c r="B81" t="s">
        <v>310</v>
      </c>
      <c r="C81" t="s">
        <v>314</v>
      </c>
      <c r="D81" s="2">
        <v>0.16800000000000001</v>
      </c>
      <c r="E81">
        <v>0.16800000000000001</v>
      </c>
      <c r="F81">
        <v>0.16800000000000001</v>
      </c>
      <c r="G81">
        <v>7.0699999999999999E-2</v>
      </c>
      <c r="H81" s="2">
        <f t="shared" si="1"/>
        <v>0.16800000000000001</v>
      </c>
    </row>
    <row r="82" spans="1:8">
      <c r="A82">
        <v>1985</v>
      </c>
      <c r="B82" t="s">
        <v>310</v>
      </c>
      <c r="C82" t="s">
        <v>311</v>
      </c>
      <c r="D82" s="2">
        <v>0.125</v>
      </c>
      <c r="E82">
        <v>0.11749999999999999</v>
      </c>
      <c r="F82">
        <v>0.115</v>
      </c>
      <c r="G82">
        <v>7.0699999999999999E-2</v>
      </c>
      <c r="H82" s="2">
        <f t="shared" si="1"/>
        <v>0.119166666666667</v>
      </c>
    </row>
    <row r="83" spans="1:8">
      <c r="A83">
        <v>1985</v>
      </c>
      <c r="B83" t="s">
        <v>310</v>
      </c>
      <c r="C83" t="s">
        <v>311</v>
      </c>
      <c r="D83" s="2">
        <v>0.125</v>
      </c>
      <c r="E83">
        <v>0.12</v>
      </c>
      <c r="F83">
        <v>0.11899999999999999</v>
      </c>
      <c r="G83">
        <v>7.0699999999999999E-2</v>
      </c>
      <c r="H83" s="2">
        <f t="shared" si="1"/>
        <v>0.121333333333333</v>
      </c>
    </row>
    <row r="84" spans="1:8">
      <c r="A84">
        <v>1985</v>
      </c>
      <c r="B84" t="s">
        <v>310</v>
      </c>
      <c r="C84" t="s">
        <v>311</v>
      </c>
      <c r="D84" s="2">
        <v>0.12</v>
      </c>
      <c r="E84">
        <v>0.111</v>
      </c>
      <c r="F84">
        <v>0.108</v>
      </c>
      <c r="G84">
        <v>6.93E-2</v>
      </c>
      <c r="H84" s="2">
        <f t="shared" si="1"/>
        <v>0.113</v>
      </c>
    </row>
    <row r="85" spans="1:8">
      <c r="A85">
        <v>1985</v>
      </c>
      <c r="B85" t="s">
        <v>310</v>
      </c>
      <c r="C85" t="s">
        <v>55</v>
      </c>
      <c r="D85" s="2" t="s">
        <v>16</v>
      </c>
      <c r="E85">
        <v>0.107</v>
      </c>
      <c r="F85" t="s">
        <v>16</v>
      </c>
      <c r="G85">
        <v>6.93E-2</v>
      </c>
      <c r="H85" s="2">
        <f t="shared" si="1"/>
        <v>0.107</v>
      </c>
    </row>
    <row r="86" spans="1:8">
      <c r="A86">
        <v>1985</v>
      </c>
      <c r="B86" t="s">
        <v>310</v>
      </c>
      <c r="C86" t="s">
        <v>301</v>
      </c>
      <c r="D86" s="2" t="s">
        <v>16</v>
      </c>
      <c r="E86">
        <v>0.11899999999999999</v>
      </c>
      <c r="F86">
        <v>0.121</v>
      </c>
      <c r="G86">
        <v>6.93E-2</v>
      </c>
      <c r="H86" s="2">
        <f t="shared" si="1"/>
        <v>0.12</v>
      </c>
    </row>
    <row r="87" spans="1:8">
      <c r="A87">
        <v>1985</v>
      </c>
      <c r="B87" t="s">
        <v>310</v>
      </c>
      <c r="C87" t="s">
        <v>319</v>
      </c>
      <c r="D87" s="2">
        <v>0.14000000000000001</v>
      </c>
      <c r="E87">
        <v>0.11899999999999999</v>
      </c>
      <c r="F87">
        <v>0.12</v>
      </c>
      <c r="G87">
        <v>6.93E-2</v>
      </c>
      <c r="H87" s="2">
        <f t="shared" si="1"/>
        <v>0.12633333333333299</v>
      </c>
    </row>
    <row r="88" spans="1:8">
      <c r="A88">
        <v>1985</v>
      </c>
      <c r="B88" t="s">
        <v>310</v>
      </c>
      <c r="C88" t="s">
        <v>314</v>
      </c>
      <c r="D88" s="2">
        <v>0.1245</v>
      </c>
      <c r="E88">
        <v>0.1245</v>
      </c>
      <c r="F88">
        <v>0.1245</v>
      </c>
      <c r="G88">
        <v>6.93E-2</v>
      </c>
      <c r="H88" s="2">
        <f t="shared" si="1"/>
        <v>0.1245</v>
      </c>
    </row>
    <row r="89" spans="1:8">
      <c r="A89">
        <v>1985</v>
      </c>
      <c r="B89" t="s">
        <v>310</v>
      </c>
      <c r="C89" t="s">
        <v>55</v>
      </c>
      <c r="D89" s="2" t="s">
        <v>16</v>
      </c>
      <c r="E89">
        <v>0.11</v>
      </c>
      <c r="F89">
        <v>0.11</v>
      </c>
      <c r="G89">
        <v>6.93E-2</v>
      </c>
      <c r="H89" s="2">
        <f t="shared" si="1"/>
        <v>0.11</v>
      </c>
    </row>
    <row r="90" spans="1:8">
      <c r="A90">
        <v>1986</v>
      </c>
      <c r="B90" t="s">
        <v>310</v>
      </c>
      <c r="C90" t="s">
        <v>316</v>
      </c>
      <c r="D90" s="2">
        <v>0.1275</v>
      </c>
      <c r="E90">
        <v>0.1195</v>
      </c>
      <c r="F90">
        <v>0.122</v>
      </c>
      <c r="G90">
        <v>7.0000000000000007E-2</v>
      </c>
      <c r="H90" s="2">
        <f t="shared" si="1"/>
        <v>0.123</v>
      </c>
    </row>
    <row r="91" spans="1:8">
      <c r="A91">
        <v>1986</v>
      </c>
      <c r="B91" t="s">
        <v>310</v>
      </c>
      <c r="C91" t="s">
        <v>312</v>
      </c>
      <c r="D91" s="2">
        <v>0.1275</v>
      </c>
      <c r="E91">
        <v>0.1205</v>
      </c>
      <c r="F91">
        <v>0.123</v>
      </c>
      <c r="G91">
        <v>7.0000000000000007E-2</v>
      </c>
      <c r="H91" s="2">
        <f t="shared" si="1"/>
        <v>0.12366666666666699</v>
      </c>
    </row>
    <row r="92" spans="1:8">
      <c r="A92">
        <v>1986</v>
      </c>
      <c r="B92" t="s">
        <v>310</v>
      </c>
      <c r="C92" t="s">
        <v>312</v>
      </c>
      <c r="D92" s="2">
        <v>0.13150000000000001</v>
      </c>
      <c r="E92">
        <v>0.1215</v>
      </c>
      <c r="F92">
        <v>0.1265</v>
      </c>
      <c r="G92">
        <v>7.0000000000000007E-2</v>
      </c>
      <c r="H92" s="2">
        <f t="shared" si="1"/>
        <v>0.1265</v>
      </c>
    </row>
    <row r="93" spans="1:8">
      <c r="A93">
        <v>1986</v>
      </c>
      <c r="B93" t="s">
        <v>310</v>
      </c>
      <c r="C93" t="s">
        <v>55</v>
      </c>
      <c r="D93" s="2">
        <v>0.1225</v>
      </c>
      <c r="E93">
        <v>0.1125</v>
      </c>
      <c r="F93">
        <v>0.1125</v>
      </c>
      <c r="G93">
        <v>7.0000000000000007E-2</v>
      </c>
      <c r="H93" s="2">
        <f t="shared" si="1"/>
        <v>0.115833333333333</v>
      </c>
    </row>
    <row r="94" spans="1:8">
      <c r="A94">
        <v>1986</v>
      </c>
      <c r="B94" t="s">
        <v>310</v>
      </c>
      <c r="C94" t="s">
        <v>299</v>
      </c>
      <c r="D94" s="2">
        <v>0.13500000000000001</v>
      </c>
      <c r="E94">
        <v>0.125</v>
      </c>
      <c r="F94">
        <v>0.13150000000000001</v>
      </c>
      <c r="G94">
        <v>7.0000000000000007E-2</v>
      </c>
      <c r="H94" s="2">
        <f t="shared" si="1"/>
        <v>0.1305</v>
      </c>
    </row>
    <row r="95" spans="1:8">
      <c r="A95">
        <v>1986</v>
      </c>
      <c r="B95" t="s">
        <v>310</v>
      </c>
      <c r="C95" t="s">
        <v>301</v>
      </c>
      <c r="D95" s="2">
        <v>0.12239999999999999</v>
      </c>
      <c r="E95">
        <v>0.1124</v>
      </c>
      <c r="F95">
        <v>0.111</v>
      </c>
      <c r="G95">
        <v>7.0000000000000007E-2</v>
      </c>
      <c r="H95" s="2">
        <f t="shared" si="1"/>
        <v>0.115266666666667</v>
      </c>
    </row>
    <row r="96" spans="1:8">
      <c r="A96">
        <v>1986</v>
      </c>
      <c r="B96" t="s">
        <v>310</v>
      </c>
      <c r="C96" t="s">
        <v>311</v>
      </c>
      <c r="D96" s="2">
        <v>0.11700000000000001</v>
      </c>
      <c r="E96">
        <v>0.11</v>
      </c>
      <c r="F96">
        <v>0.1085</v>
      </c>
      <c r="G96">
        <v>7.0000000000000007E-2</v>
      </c>
      <c r="H96" s="2">
        <f t="shared" si="1"/>
        <v>0.11183333333333299</v>
      </c>
    </row>
    <row r="97" spans="1:8">
      <c r="A97">
        <v>1986</v>
      </c>
      <c r="B97" t="s">
        <v>310</v>
      </c>
      <c r="C97" t="s">
        <v>301</v>
      </c>
      <c r="D97" s="2" t="s">
        <v>16</v>
      </c>
      <c r="E97">
        <v>0.111</v>
      </c>
      <c r="F97">
        <v>0.111</v>
      </c>
      <c r="G97">
        <v>7.0000000000000007E-2</v>
      </c>
      <c r="H97" s="2">
        <f t="shared" si="1"/>
        <v>0.111</v>
      </c>
    </row>
    <row r="98" spans="1:8">
      <c r="A98">
        <v>1986</v>
      </c>
      <c r="B98" t="s">
        <v>310</v>
      </c>
      <c r="C98" t="s">
        <v>312</v>
      </c>
      <c r="D98" s="2">
        <v>0.13350000000000001</v>
      </c>
      <c r="E98">
        <v>0.1235</v>
      </c>
      <c r="F98" t="s">
        <v>16</v>
      </c>
      <c r="G98">
        <v>7.0000000000000007E-2</v>
      </c>
      <c r="H98" s="2">
        <f t="shared" si="1"/>
        <v>0.1285</v>
      </c>
    </row>
    <row r="99" spans="1:8">
      <c r="A99">
        <v>1986</v>
      </c>
      <c r="B99" t="s">
        <v>310</v>
      </c>
      <c r="C99" t="s">
        <v>324</v>
      </c>
      <c r="D99" s="2">
        <v>0.11650000000000001</v>
      </c>
      <c r="E99">
        <v>0.1065</v>
      </c>
      <c r="F99">
        <v>0.1075</v>
      </c>
      <c r="G99">
        <v>7.0000000000000007E-2</v>
      </c>
      <c r="H99" s="2">
        <f t="shared" si="1"/>
        <v>0.110166666666667</v>
      </c>
    </row>
    <row r="100" spans="1:8">
      <c r="A100">
        <v>1986</v>
      </c>
      <c r="B100" t="s">
        <v>310</v>
      </c>
      <c r="C100" t="s">
        <v>312</v>
      </c>
      <c r="D100" s="2">
        <v>0.12</v>
      </c>
      <c r="E100">
        <v>0.124</v>
      </c>
      <c r="F100">
        <v>0.107</v>
      </c>
      <c r="G100">
        <v>7.0000000000000007E-2</v>
      </c>
      <c r="H100" s="2">
        <f t="shared" si="1"/>
        <v>0.11700000000000001</v>
      </c>
    </row>
    <row r="101" spans="1:8">
      <c r="A101">
        <v>1986</v>
      </c>
      <c r="B101" t="s">
        <v>310</v>
      </c>
      <c r="C101" t="s">
        <v>311</v>
      </c>
      <c r="D101" s="2">
        <v>0.1195</v>
      </c>
      <c r="E101" t="s">
        <v>16</v>
      </c>
      <c r="F101">
        <v>0.1085</v>
      </c>
      <c r="G101">
        <v>7.0000000000000007E-2</v>
      </c>
      <c r="H101" s="2">
        <f t="shared" si="1"/>
        <v>0.114</v>
      </c>
    </row>
    <row r="102" spans="1:8">
      <c r="A102">
        <v>1986</v>
      </c>
      <c r="B102" t="s">
        <v>310</v>
      </c>
      <c r="C102" t="s">
        <v>301</v>
      </c>
      <c r="D102" s="2">
        <v>0.125</v>
      </c>
      <c r="E102">
        <v>0.1125</v>
      </c>
      <c r="F102">
        <v>0.1115</v>
      </c>
      <c r="G102">
        <v>7.0000000000000007E-2</v>
      </c>
      <c r="H102" s="2">
        <f t="shared" si="1"/>
        <v>0.116333333333333</v>
      </c>
    </row>
    <row r="103" spans="1:8">
      <c r="A103">
        <v>1986</v>
      </c>
      <c r="B103" t="s">
        <v>310</v>
      </c>
      <c r="C103" t="s">
        <v>103</v>
      </c>
      <c r="D103" s="2">
        <v>0.13300000000000001</v>
      </c>
      <c r="E103">
        <v>0.124</v>
      </c>
      <c r="F103">
        <v>0.128</v>
      </c>
      <c r="G103">
        <v>7.0000000000000007E-2</v>
      </c>
      <c r="H103" s="2">
        <f t="shared" si="1"/>
        <v>0.12833333333333299</v>
      </c>
    </row>
    <row r="104" spans="1:8">
      <c r="A104">
        <v>1986</v>
      </c>
      <c r="B104" t="s">
        <v>310</v>
      </c>
      <c r="C104" t="s">
        <v>324</v>
      </c>
      <c r="D104" s="2">
        <v>0.1249</v>
      </c>
      <c r="E104">
        <v>0.11899999999999999</v>
      </c>
      <c r="F104">
        <v>0.11899999999999999</v>
      </c>
      <c r="G104">
        <v>7.0000000000000007E-2</v>
      </c>
      <c r="H104" s="2">
        <f t="shared" si="1"/>
        <v>0.120966666666667</v>
      </c>
    </row>
    <row r="105" spans="1:8">
      <c r="A105">
        <v>1986</v>
      </c>
      <c r="B105" t="s">
        <v>310</v>
      </c>
      <c r="C105" t="s">
        <v>312</v>
      </c>
      <c r="D105" s="2">
        <v>0.13250000000000001</v>
      </c>
      <c r="E105" t="s">
        <v>16</v>
      </c>
      <c r="F105" t="s">
        <v>16</v>
      </c>
      <c r="G105">
        <v>7.0099999999999996E-2</v>
      </c>
      <c r="H105" s="2">
        <f t="shared" si="1"/>
        <v>0.13250000000000001</v>
      </c>
    </row>
    <row r="106" spans="1:8">
      <c r="A106">
        <v>1986</v>
      </c>
      <c r="B106" t="s">
        <v>310</v>
      </c>
      <c r="C106" t="s">
        <v>301</v>
      </c>
      <c r="D106" s="2">
        <v>0.13300000000000001</v>
      </c>
      <c r="E106">
        <v>0.124</v>
      </c>
      <c r="F106">
        <v>0.129</v>
      </c>
      <c r="G106">
        <v>7.0099999999999996E-2</v>
      </c>
      <c r="H106" s="2">
        <f t="shared" si="1"/>
        <v>0.12866666666666701</v>
      </c>
    </row>
    <row r="107" spans="1:8">
      <c r="A107">
        <v>1986</v>
      </c>
      <c r="B107" t="s">
        <v>310</v>
      </c>
      <c r="C107" t="s">
        <v>312</v>
      </c>
      <c r="D107" s="2">
        <v>0.13</v>
      </c>
      <c r="E107">
        <v>0.1275</v>
      </c>
      <c r="F107">
        <v>0.1275</v>
      </c>
      <c r="G107">
        <v>7.0099999999999996E-2</v>
      </c>
      <c r="H107" s="2">
        <f t="shared" si="1"/>
        <v>0.12833333333333299</v>
      </c>
    </row>
    <row r="108" spans="1:8">
      <c r="A108">
        <v>1986</v>
      </c>
      <c r="B108" t="s">
        <v>310</v>
      </c>
      <c r="C108" t="s">
        <v>43</v>
      </c>
      <c r="D108" s="2">
        <v>0.12</v>
      </c>
      <c r="E108">
        <v>0.11</v>
      </c>
      <c r="F108">
        <v>0.115</v>
      </c>
      <c r="G108">
        <v>7.0099999999999996E-2</v>
      </c>
      <c r="H108" s="2">
        <f t="shared" si="1"/>
        <v>0.115</v>
      </c>
    </row>
    <row r="109" spans="1:8">
      <c r="A109">
        <v>1986</v>
      </c>
      <c r="B109" t="s">
        <v>310</v>
      </c>
      <c r="C109" t="s">
        <v>301</v>
      </c>
      <c r="D109" s="2">
        <v>0.1195</v>
      </c>
      <c r="E109">
        <v>0.11</v>
      </c>
      <c r="F109">
        <v>0.1085</v>
      </c>
      <c r="G109">
        <v>7.0400000000000004E-2</v>
      </c>
      <c r="H109" s="2">
        <f t="shared" si="1"/>
        <v>0.112666666666667</v>
      </c>
    </row>
    <row r="110" spans="1:8">
      <c r="A110">
        <v>1986</v>
      </c>
      <c r="B110" t="s">
        <v>310</v>
      </c>
      <c r="C110" t="s">
        <v>301</v>
      </c>
      <c r="D110" s="2">
        <v>0.114</v>
      </c>
      <c r="E110">
        <v>0.107</v>
      </c>
      <c r="F110">
        <v>0.105</v>
      </c>
      <c r="G110">
        <v>7.0400000000000004E-2</v>
      </c>
      <c r="H110" s="2">
        <f t="shared" si="1"/>
        <v>0.10866666666666699</v>
      </c>
    </row>
    <row r="111" spans="1:8">
      <c r="A111">
        <v>1986</v>
      </c>
      <c r="B111" t="s">
        <v>310</v>
      </c>
      <c r="C111" t="s">
        <v>311</v>
      </c>
      <c r="D111" s="2">
        <v>0.1041</v>
      </c>
      <c r="E111" t="s">
        <v>16</v>
      </c>
      <c r="F111">
        <v>0.1057</v>
      </c>
      <c r="G111">
        <v>7.0400000000000004E-2</v>
      </c>
      <c r="H111" s="2">
        <f t="shared" si="1"/>
        <v>0.10489999999999999</v>
      </c>
    </row>
    <row r="112" spans="1:8">
      <c r="A112">
        <v>1986</v>
      </c>
      <c r="B112" t="s">
        <v>310</v>
      </c>
      <c r="C112" t="s">
        <v>322</v>
      </c>
      <c r="D112" s="2">
        <v>0.13500000000000001</v>
      </c>
      <c r="E112">
        <v>0.106</v>
      </c>
      <c r="F112">
        <v>0.1055</v>
      </c>
      <c r="G112">
        <v>7.0400000000000004E-2</v>
      </c>
      <c r="H112" s="2">
        <f t="shared" si="1"/>
        <v>0.11550000000000001</v>
      </c>
    </row>
    <row r="113" spans="1:8">
      <c r="A113">
        <v>1986</v>
      </c>
      <c r="B113" t="s">
        <v>310</v>
      </c>
      <c r="C113" t="s">
        <v>311</v>
      </c>
      <c r="D113" s="2" t="s">
        <v>16</v>
      </c>
      <c r="E113">
        <v>0.1142</v>
      </c>
      <c r="F113">
        <v>0.1132</v>
      </c>
      <c r="G113">
        <v>7.0400000000000004E-2</v>
      </c>
      <c r="H113" s="2">
        <f t="shared" si="1"/>
        <v>0.1137</v>
      </c>
    </row>
    <row r="114" spans="1:8">
      <c r="A114">
        <v>1986</v>
      </c>
      <c r="B114" t="s">
        <v>310</v>
      </c>
      <c r="C114" t="s">
        <v>311</v>
      </c>
      <c r="D114" s="2">
        <v>0.1191</v>
      </c>
      <c r="E114">
        <v>0.11310000000000001</v>
      </c>
      <c r="F114" t="s">
        <v>16</v>
      </c>
      <c r="G114">
        <v>7.0400000000000004E-2</v>
      </c>
      <c r="H114" s="2">
        <f t="shared" si="1"/>
        <v>0.11609999999999999</v>
      </c>
    </row>
    <row r="115" spans="1:8">
      <c r="A115">
        <v>1986</v>
      </c>
      <c r="B115" t="s">
        <v>310</v>
      </c>
      <c r="C115" t="s">
        <v>314</v>
      </c>
      <c r="D115" s="2">
        <v>0.157</v>
      </c>
      <c r="E115">
        <v>0.157</v>
      </c>
      <c r="F115">
        <v>0.157</v>
      </c>
      <c r="G115">
        <v>7.0400000000000004E-2</v>
      </c>
      <c r="H115" s="2">
        <f t="shared" si="1"/>
        <v>0.157</v>
      </c>
    </row>
    <row r="116" spans="1:8">
      <c r="A116">
        <v>1986</v>
      </c>
      <c r="B116" t="s">
        <v>310</v>
      </c>
      <c r="C116" t="s">
        <v>314</v>
      </c>
      <c r="D116" s="2">
        <v>0.157</v>
      </c>
      <c r="E116">
        <v>0.157</v>
      </c>
      <c r="F116">
        <v>0.157</v>
      </c>
      <c r="G116">
        <v>7.0400000000000004E-2</v>
      </c>
      <c r="H116" s="2">
        <f t="shared" si="1"/>
        <v>0.157</v>
      </c>
    </row>
    <row r="117" spans="1:8">
      <c r="A117">
        <v>1986</v>
      </c>
      <c r="B117" t="s">
        <v>310</v>
      </c>
      <c r="C117" t="s">
        <v>55</v>
      </c>
      <c r="D117" s="2">
        <v>0.125</v>
      </c>
      <c r="E117">
        <v>0.1125</v>
      </c>
      <c r="F117">
        <v>0.1125</v>
      </c>
      <c r="G117">
        <v>7.0400000000000004E-2</v>
      </c>
      <c r="H117" s="2">
        <f t="shared" si="1"/>
        <v>0.116666666666667</v>
      </c>
    </row>
    <row r="118" spans="1:8">
      <c r="A118">
        <v>1986</v>
      </c>
      <c r="B118" t="s">
        <v>310</v>
      </c>
      <c r="C118" t="s">
        <v>314</v>
      </c>
      <c r="D118" s="2">
        <v>0.1215</v>
      </c>
      <c r="E118">
        <v>0.1215</v>
      </c>
      <c r="F118">
        <v>0.1215</v>
      </c>
      <c r="G118">
        <v>7.0400000000000004E-2</v>
      </c>
      <c r="H118" s="2">
        <f t="shared" si="1"/>
        <v>0.1215</v>
      </c>
    </row>
    <row r="119" spans="1:8">
      <c r="A119">
        <v>1986</v>
      </c>
      <c r="B119" t="s">
        <v>310</v>
      </c>
      <c r="C119" t="s">
        <v>55</v>
      </c>
      <c r="D119" s="2">
        <v>0.1225</v>
      </c>
      <c r="E119">
        <v>0.11700000000000001</v>
      </c>
      <c r="F119">
        <v>0.11700000000000001</v>
      </c>
      <c r="G119">
        <v>7.0400000000000004E-2</v>
      </c>
      <c r="H119" s="2">
        <f t="shared" si="1"/>
        <v>0.118833333333333</v>
      </c>
    </row>
    <row r="120" spans="1:8">
      <c r="A120">
        <v>1986</v>
      </c>
      <c r="B120" t="s">
        <v>310</v>
      </c>
      <c r="C120" t="s">
        <v>311</v>
      </c>
      <c r="D120" s="2">
        <v>0.1195</v>
      </c>
      <c r="E120">
        <v>0.1085</v>
      </c>
      <c r="F120">
        <v>0.1085</v>
      </c>
      <c r="G120">
        <v>7.0499999999999993E-2</v>
      </c>
      <c r="H120" s="2">
        <f t="shared" si="1"/>
        <v>0.112166666666667</v>
      </c>
    </row>
    <row r="121" spans="1:8">
      <c r="A121">
        <v>1986</v>
      </c>
      <c r="B121" t="s">
        <v>310</v>
      </c>
      <c r="C121" t="s">
        <v>317</v>
      </c>
      <c r="D121" s="2">
        <v>0.1225</v>
      </c>
      <c r="E121">
        <v>0.11</v>
      </c>
      <c r="F121">
        <v>0.1075</v>
      </c>
      <c r="G121">
        <v>7.0499999999999993E-2</v>
      </c>
      <c r="H121" s="2">
        <f t="shared" si="1"/>
        <v>0.11333333333333299</v>
      </c>
    </row>
    <row r="122" spans="1:8">
      <c r="A122">
        <v>1986</v>
      </c>
      <c r="B122" t="s">
        <v>310</v>
      </c>
      <c r="C122" t="s">
        <v>55</v>
      </c>
      <c r="D122" s="2" t="s">
        <v>16</v>
      </c>
      <c r="E122">
        <v>0.1129</v>
      </c>
      <c r="F122">
        <v>0.1129</v>
      </c>
      <c r="G122">
        <v>7.0499999999999993E-2</v>
      </c>
      <c r="H122" s="2">
        <f t="shared" si="1"/>
        <v>0.1129</v>
      </c>
    </row>
    <row r="123" spans="1:8">
      <c r="A123">
        <v>1986</v>
      </c>
      <c r="B123" t="s">
        <v>310</v>
      </c>
      <c r="C123" t="s">
        <v>301</v>
      </c>
      <c r="D123" s="2" t="s">
        <v>16</v>
      </c>
      <c r="E123">
        <v>0.11799999999999999</v>
      </c>
      <c r="F123">
        <v>0.12</v>
      </c>
      <c r="G123">
        <v>7.0499999999999993E-2</v>
      </c>
      <c r="H123" s="2">
        <f t="shared" si="1"/>
        <v>0.11899999999999999</v>
      </c>
    </row>
    <row r="124" spans="1:8">
      <c r="A124">
        <v>1986</v>
      </c>
      <c r="B124" t="s">
        <v>310</v>
      </c>
      <c r="C124" t="s">
        <v>318</v>
      </c>
      <c r="D124" s="2">
        <v>0.12</v>
      </c>
      <c r="E124">
        <v>0.11</v>
      </c>
      <c r="F124">
        <v>0.11</v>
      </c>
      <c r="G124">
        <v>7.0499999999999993E-2</v>
      </c>
      <c r="H124" s="2">
        <f t="shared" si="1"/>
        <v>0.11333333333333299</v>
      </c>
    </row>
    <row r="125" spans="1:8">
      <c r="A125">
        <v>1986</v>
      </c>
      <c r="B125" t="s">
        <v>310</v>
      </c>
      <c r="C125" t="s">
        <v>318</v>
      </c>
      <c r="D125" s="2">
        <v>0.12</v>
      </c>
      <c r="E125">
        <v>0.11</v>
      </c>
      <c r="F125">
        <v>0.11</v>
      </c>
      <c r="G125">
        <v>7.0499999999999993E-2</v>
      </c>
      <c r="H125" s="2">
        <f t="shared" si="1"/>
        <v>0.11333333333333299</v>
      </c>
    </row>
    <row r="126" spans="1:8">
      <c r="A126">
        <v>1986</v>
      </c>
      <c r="B126" t="s">
        <v>310</v>
      </c>
      <c r="C126" t="s">
        <v>321</v>
      </c>
      <c r="D126" s="2">
        <v>0.107</v>
      </c>
      <c r="E126" t="s">
        <v>16</v>
      </c>
      <c r="F126">
        <v>0.10349999999999999</v>
      </c>
      <c r="G126">
        <v>7.0499999999999993E-2</v>
      </c>
      <c r="H126" s="2">
        <f t="shared" si="1"/>
        <v>0.10525</v>
      </c>
    </row>
    <row r="127" spans="1:8">
      <c r="A127">
        <v>1987</v>
      </c>
      <c r="B127" t="s">
        <v>310</v>
      </c>
      <c r="C127" t="s">
        <v>323</v>
      </c>
      <c r="D127" s="2">
        <v>0.125</v>
      </c>
      <c r="E127">
        <v>0.113</v>
      </c>
      <c r="F127">
        <v>0.11799999999999999</v>
      </c>
      <c r="G127">
        <v>7.0300000000000001E-2</v>
      </c>
      <c r="H127" s="2">
        <f t="shared" si="1"/>
        <v>0.118666666666667</v>
      </c>
    </row>
    <row r="128" spans="1:8">
      <c r="A128">
        <v>1987</v>
      </c>
      <c r="B128" t="s">
        <v>310</v>
      </c>
      <c r="C128" t="s">
        <v>312</v>
      </c>
      <c r="D128" s="2">
        <v>0.13650000000000001</v>
      </c>
      <c r="E128">
        <v>0.1265</v>
      </c>
      <c r="F128">
        <v>0.13150000000000001</v>
      </c>
      <c r="G128">
        <v>7.0099999999999996E-2</v>
      </c>
      <c r="H128" s="2">
        <f t="shared" si="1"/>
        <v>0.13150000000000001</v>
      </c>
    </row>
    <row r="129" spans="1:8">
      <c r="A129">
        <v>1987</v>
      </c>
      <c r="B129" t="s">
        <v>310</v>
      </c>
      <c r="C129" t="s">
        <v>314</v>
      </c>
      <c r="D129" s="2">
        <v>0.125</v>
      </c>
      <c r="E129">
        <v>0.11899999999999999</v>
      </c>
      <c r="F129">
        <v>0.11899999999999999</v>
      </c>
      <c r="G129">
        <v>7.0099999999999996E-2</v>
      </c>
      <c r="H129" s="2">
        <f t="shared" si="1"/>
        <v>0.121</v>
      </c>
    </row>
    <row r="130" spans="1:8">
      <c r="A130">
        <v>1987</v>
      </c>
      <c r="B130" t="s">
        <v>310</v>
      </c>
      <c r="C130" t="s">
        <v>301</v>
      </c>
      <c r="D130" s="2">
        <v>0.13550000000000001</v>
      </c>
      <c r="E130">
        <v>0.1265</v>
      </c>
      <c r="F130">
        <v>0.13150000000000001</v>
      </c>
      <c r="G130">
        <v>7.0099999999999996E-2</v>
      </c>
      <c r="H130" s="2">
        <f t="shared" ref="H130:H193" si="2">AVERAGE(D130:F130)</f>
        <v>0.13116666666666699</v>
      </c>
    </row>
    <row r="131" spans="1:8">
      <c r="A131">
        <v>1987</v>
      </c>
      <c r="B131" t="s">
        <v>310</v>
      </c>
      <c r="C131" t="s">
        <v>55</v>
      </c>
      <c r="D131" s="2">
        <v>0.122</v>
      </c>
      <c r="E131">
        <v>0.1115</v>
      </c>
      <c r="F131">
        <v>0.1115</v>
      </c>
      <c r="G131">
        <v>7.0099999999999996E-2</v>
      </c>
      <c r="H131" s="2">
        <f t="shared" si="2"/>
        <v>0.115</v>
      </c>
    </row>
    <row r="132" spans="1:8">
      <c r="A132">
        <v>1987</v>
      </c>
      <c r="B132" t="s">
        <v>310</v>
      </c>
      <c r="C132" t="s">
        <v>299</v>
      </c>
      <c r="D132" s="2">
        <v>0.129</v>
      </c>
      <c r="E132">
        <v>0.125</v>
      </c>
      <c r="F132">
        <v>0.13150000000000001</v>
      </c>
      <c r="G132">
        <v>7.0099999999999996E-2</v>
      </c>
      <c r="H132" s="2">
        <f t="shared" si="2"/>
        <v>0.1285</v>
      </c>
    </row>
    <row r="133" spans="1:8">
      <c r="A133">
        <v>1987</v>
      </c>
      <c r="B133" t="s">
        <v>310</v>
      </c>
      <c r="C133" t="s">
        <v>301</v>
      </c>
      <c r="D133" s="2">
        <v>0.122</v>
      </c>
      <c r="E133">
        <v>0.112</v>
      </c>
      <c r="F133">
        <v>0.111</v>
      </c>
      <c r="G133">
        <v>7.0099999999999996E-2</v>
      </c>
      <c r="H133" s="2">
        <f t="shared" si="2"/>
        <v>0.115</v>
      </c>
    </row>
    <row r="134" spans="1:8">
      <c r="A134">
        <v>1987</v>
      </c>
      <c r="B134" t="s">
        <v>310</v>
      </c>
      <c r="C134" t="s">
        <v>311</v>
      </c>
      <c r="D134" s="2">
        <v>0.11700000000000001</v>
      </c>
      <c r="E134">
        <v>0.114</v>
      </c>
      <c r="F134">
        <v>0.1085</v>
      </c>
      <c r="G134">
        <v>7.0099999999999996E-2</v>
      </c>
      <c r="H134" s="2">
        <f t="shared" si="2"/>
        <v>0.113166666666667</v>
      </c>
    </row>
    <row r="135" spans="1:8">
      <c r="A135">
        <v>1987</v>
      </c>
      <c r="B135" t="s">
        <v>310</v>
      </c>
      <c r="C135" t="s">
        <v>301</v>
      </c>
      <c r="D135" s="2" t="s">
        <v>16</v>
      </c>
      <c r="E135">
        <v>0.125</v>
      </c>
      <c r="F135">
        <v>0.125</v>
      </c>
      <c r="G135">
        <v>7.0099999999999996E-2</v>
      </c>
      <c r="H135" s="2">
        <f t="shared" si="2"/>
        <v>0.125</v>
      </c>
    </row>
    <row r="136" spans="1:8">
      <c r="A136">
        <v>1987</v>
      </c>
      <c r="B136" t="s">
        <v>310</v>
      </c>
      <c r="C136" t="s">
        <v>312</v>
      </c>
      <c r="D136" s="2">
        <v>0.13</v>
      </c>
      <c r="E136">
        <v>0.123</v>
      </c>
      <c r="F136">
        <v>0.1255</v>
      </c>
      <c r="G136">
        <v>7.0099999999999996E-2</v>
      </c>
      <c r="H136" s="2">
        <f t="shared" si="2"/>
        <v>0.12616666666666701</v>
      </c>
    </row>
    <row r="137" spans="1:8">
      <c r="A137">
        <v>1987</v>
      </c>
      <c r="B137" t="s">
        <v>310</v>
      </c>
      <c r="C137" t="s">
        <v>312</v>
      </c>
      <c r="D137" s="2">
        <v>0.13</v>
      </c>
      <c r="E137">
        <v>0.123</v>
      </c>
      <c r="F137">
        <v>0.123</v>
      </c>
      <c r="G137">
        <v>7.0099999999999996E-2</v>
      </c>
      <c r="H137" s="2">
        <f t="shared" si="2"/>
        <v>0.12533333333333299</v>
      </c>
    </row>
    <row r="138" spans="1:8">
      <c r="A138">
        <v>1987</v>
      </c>
      <c r="B138" t="s">
        <v>310</v>
      </c>
      <c r="C138" t="s">
        <v>311</v>
      </c>
      <c r="D138" s="2">
        <v>0.11990000000000001</v>
      </c>
      <c r="E138" t="s">
        <v>16</v>
      </c>
      <c r="F138">
        <v>0.1105</v>
      </c>
      <c r="G138">
        <v>7.0099999999999996E-2</v>
      </c>
      <c r="H138" s="2">
        <f t="shared" si="2"/>
        <v>0.1152</v>
      </c>
    </row>
    <row r="139" spans="1:8">
      <c r="A139">
        <v>1987</v>
      </c>
      <c r="B139" t="s">
        <v>310</v>
      </c>
      <c r="C139" t="s">
        <v>301</v>
      </c>
      <c r="D139" s="2">
        <v>0.123</v>
      </c>
      <c r="E139">
        <v>0.1125</v>
      </c>
      <c r="F139">
        <v>0.1115</v>
      </c>
      <c r="G139">
        <v>7.0099999999999996E-2</v>
      </c>
      <c r="H139" s="2">
        <f t="shared" si="2"/>
        <v>0.115666666666667</v>
      </c>
    </row>
    <row r="140" spans="1:8">
      <c r="A140">
        <v>1987</v>
      </c>
      <c r="B140" t="s">
        <v>310</v>
      </c>
      <c r="C140" t="s">
        <v>103</v>
      </c>
      <c r="D140" s="2">
        <v>0.13700000000000001</v>
      </c>
      <c r="E140">
        <v>0.124</v>
      </c>
      <c r="F140">
        <v>0.128</v>
      </c>
      <c r="G140">
        <v>7.0099999999999996E-2</v>
      </c>
      <c r="H140" s="2">
        <f t="shared" si="2"/>
        <v>0.12966666666666701</v>
      </c>
    </row>
    <row r="141" spans="1:8">
      <c r="A141">
        <v>1987</v>
      </c>
      <c r="B141" t="s">
        <v>310</v>
      </c>
      <c r="C141" t="s">
        <v>299</v>
      </c>
      <c r="D141" s="2">
        <v>0.127</v>
      </c>
      <c r="E141">
        <v>0.1125</v>
      </c>
      <c r="F141">
        <v>0.1125</v>
      </c>
      <c r="G141">
        <v>7.0099999999999996E-2</v>
      </c>
      <c r="H141" s="2">
        <f t="shared" si="2"/>
        <v>0.117333333333333</v>
      </c>
    </row>
    <row r="142" spans="1:8">
      <c r="A142">
        <v>1987</v>
      </c>
      <c r="B142" t="s">
        <v>310</v>
      </c>
      <c r="C142" t="s">
        <v>43</v>
      </c>
      <c r="D142" s="2">
        <v>0.12</v>
      </c>
      <c r="E142">
        <v>0.11</v>
      </c>
      <c r="F142">
        <v>0.115</v>
      </c>
      <c r="G142">
        <v>7.0099999999999996E-2</v>
      </c>
      <c r="H142" s="2">
        <f t="shared" si="2"/>
        <v>0.115</v>
      </c>
    </row>
    <row r="143" spans="1:8">
      <c r="A143">
        <v>1987</v>
      </c>
      <c r="B143" t="s">
        <v>310</v>
      </c>
      <c r="C143" t="s">
        <v>312</v>
      </c>
      <c r="D143" s="2">
        <v>0.13250000000000001</v>
      </c>
      <c r="E143" t="s">
        <v>16</v>
      </c>
      <c r="F143" t="s">
        <v>16</v>
      </c>
      <c r="G143">
        <v>7.0499999999999993E-2</v>
      </c>
      <c r="H143" s="2">
        <f t="shared" si="2"/>
        <v>0.13250000000000001</v>
      </c>
    </row>
    <row r="144" spans="1:8">
      <c r="A144">
        <v>1987</v>
      </c>
      <c r="B144" t="s">
        <v>310</v>
      </c>
      <c r="C144" t="s">
        <v>321</v>
      </c>
      <c r="D144" s="2">
        <v>0.11550000000000001</v>
      </c>
      <c r="E144">
        <v>0.1055</v>
      </c>
      <c r="F144">
        <v>0.114</v>
      </c>
      <c r="G144">
        <v>7.0499999999999993E-2</v>
      </c>
      <c r="H144" s="2">
        <f t="shared" si="2"/>
        <v>0.111666666666667</v>
      </c>
    </row>
    <row r="145" spans="1:8">
      <c r="A145">
        <v>1987</v>
      </c>
      <c r="B145" t="s">
        <v>310</v>
      </c>
      <c r="C145" t="s">
        <v>299</v>
      </c>
      <c r="D145" s="2">
        <v>0.13500000000000001</v>
      </c>
      <c r="E145">
        <v>0.128</v>
      </c>
      <c r="F145">
        <v>0.13200000000000001</v>
      </c>
      <c r="G145">
        <v>7.0499999999999993E-2</v>
      </c>
      <c r="H145" s="2">
        <f t="shared" si="2"/>
        <v>0.13166666666666699</v>
      </c>
    </row>
    <row r="146" spans="1:8">
      <c r="A146">
        <v>1987</v>
      </c>
      <c r="B146" t="s">
        <v>310</v>
      </c>
      <c r="C146" t="s">
        <v>301</v>
      </c>
      <c r="D146" s="2">
        <v>0.122</v>
      </c>
      <c r="E146">
        <v>0.112</v>
      </c>
      <c r="F146">
        <v>0.111</v>
      </c>
      <c r="G146">
        <v>7.0599999999999996E-2</v>
      </c>
      <c r="H146" s="2">
        <f t="shared" si="2"/>
        <v>0.115</v>
      </c>
    </row>
    <row r="147" spans="1:8">
      <c r="A147">
        <v>1987</v>
      </c>
      <c r="B147" t="s">
        <v>310</v>
      </c>
      <c r="C147" t="s">
        <v>301</v>
      </c>
      <c r="D147" s="2">
        <v>0.11650000000000001</v>
      </c>
      <c r="E147">
        <v>0.1095</v>
      </c>
      <c r="F147">
        <v>0.1075</v>
      </c>
      <c r="G147">
        <v>7.0499999999999993E-2</v>
      </c>
      <c r="H147" s="2">
        <f t="shared" si="2"/>
        <v>0.111166666666667</v>
      </c>
    </row>
    <row r="148" spans="1:8">
      <c r="A148">
        <v>1987</v>
      </c>
      <c r="B148" t="s">
        <v>310</v>
      </c>
      <c r="C148" t="s">
        <v>311</v>
      </c>
      <c r="D148" s="2">
        <v>0.122</v>
      </c>
      <c r="E148">
        <v>0.112</v>
      </c>
      <c r="F148">
        <v>0.113</v>
      </c>
      <c r="G148">
        <v>7.0499999999999993E-2</v>
      </c>
      <c r="H148" s="2">
        <f t="shared" si="2"/>
        <v>0.115666666666667</v>
      </c>
    </row>
    <row r="149" spans="1:8">
      <c r="A149">
        <v>1987</v>
      </c>
      <c r="B149" t="s">
        <v>310</v>
      </c>
      <c r="C149" t="s">
        <v>55</v>
      </c>
      <c r="D149" s="2">
        <v>0.1295</v>
      </c>
      <c r="E149">
        <v>0.11700000000000001</v>
      </c>
      <c r="F149">
        <v>0.11700000000000001</v>
      </c>
      <c r="G149">
        <v>7.0499999999999993E-2</v>
      </c>
      <c r="H149" s="2">
        <f t="shared" si="2"/>
        <v>0.12116666666666701</v>
      </c>
    </row>
    <row r="150" spans="1:8">
      <c r="A150">
        <v>1987</v>
      </c>
      <c r="B150" t="s">
        <v>310</v>
      </c>
      <c r="C150" t="s">
        <v>311</v>
      </c>
      <c r="D150" s="2">
        <v>0.121</v>
      </c>
      <c r="E150">
        <v>0.1115</v>
      </c>
      <c r="F150">
        <v>0.1115</v>
      </c>
      <c r="G150">
        <v>7.0499999999999993E-2</v>
      </c>
      <c r="H150" s="2">
        <f t="shared" si="2"/>
        <v>0.114666666666667</v>
      </c>
    </row>
    <row r="151" spans="1:8">
      <c r="A151">
        <v>1987</v>
      </c>
      <c r="B151" t="s">
        <v>310</v>
      </c>
      <c r="C151" t="s">
        <v>55</v>
      </c>
      <c r="D151" s="2">
        <v>0.1152</v>
      </c>
      <c r="E151">
        <v>0.10580000000000001</v>
      </c>
      <c r="F151">
        <v>0.1041</v>
      </c>
      <c r="G151">
        <v>7.0499999999999993E-2</v>
      </c>
      <c r="H151" s="2">
        <f t="shared" si="2"/>
        <v>0.108366666666667</v>
      </c>
    </row>
    <row r="152" spans="1:8">
      <c r="A152">
        <v>1987</v>
      </c>
      <c r="B152" t="s">
        <v>310</v>
      </c>
      <c r="C152" t="s">
        <v>314</v>
      </c>
      <c r="D152" s="2">
        <v>0.159</v>
      </c>
      <c r="E152">
        <v>0.159</v>
      </c>
      <c r="F152">
        <v>0.159</v>
      </c>
      <c r="G152">
        <v>7.0499999999999993E-2</v>
      </c>
      <c r="H152" s="2">
        <f t="shared" si="2"/>
        <v>0.159</v>
      </c>
    </row>
    <row r="153" spans="1:8">
      <c r="A153">
        <v>1987</v>
      </c>
      <c r="B153" t="s">
        <v>310</v>
      </c>
      <c r="C153" t="s">
        <v>314</v>
      </c>
      <c r="D153" s="2">
        <v>0.159</v>
      </c>
      <c r="E153">
        <v>0.159</v>
      </c>
      <c r="F153">
        <v>0.159</v>
      </c>
      <c r="G153">
        <v>7.0499999999999993E-2</v>
      </c>
      <c r="H153" s="2">
        <f t="shared" si="2"/>
        <v>0.159</v>
      </c>
    </row>
    <row r="154" spans="1:8">
      <c r="A154">
        <v>1987</v>
      </c>
      <c r="B154" t="s">
        <v>310</v>
      </c>
      <c r="C154" t="s">
        <v>318</v>
      </c>
      <c r="D154" s="2">
        <v>0.11899999999999999</v>
      </c>
      <c r="E154">
        <v>0.11</v>
      </c>
      <c r="F154">
        <v>0.11</v>
      </c>
      <c r="G154">
        <v>7.0499999999999993E-2</v>
      </c>
      <c r="H154" s="2">
        <f t="shared" si="2"/>
        <v>0.113</v>
      </c>
    </row>
    <row r="155" spans="1:8">
      <c r="A155">
        <v>1987</v>
      </c>
      <c r="B155" t="s">
        <v>310</v>
      </c>
      <c r="C155" t="s">
        <v>322</v>
      </c>
      <c r="D155" s="2">
        <v>0.122</v>
      </c>
      <c r="E155">
        <v>0.11</v>
      </c>
      <c r="F155">
        <v>0.11</v>
      </c>
      <c r="G155">
        <v>7.0499999999999993E-2</v>
      </c>
      <c r="H155" s="2">
        <f t="shared" si="2"/>
        <v>0.114</v>
      </c>
    </row>
    <row r="156" spans="1:8">
      <c r="A156">
        <v>1987</v>
      </c>
      <c r="B156" t="s">
        <v>310</v>
      </c>
      <c r="C156" t="s">
        <v>311</v>
      </c>
      <c r="D156" s="2">
        <v>0.122</v>
      </c>
      <c r="E156">
        <v>0.115</v>
      </c>
      <c r="F156">
        <v>0.115</v>
      </c>
      <c r="G156">
        <v>7.0499999999999993E-2</v>
      </c>
      <c r="H156" s="2">
        <f t="shared" si="2"/>
        <v>0.117333333333333</v>
      </c>
    </row>
    <row r="157" spans="1:8">
      <c r="A157">
        <v>1987</v>
      </c>
      <c r="B157" t="s">
        <v>310</v>
      </c>
      <c r="C157" t="s">
        <v>311</v>
      </c>
      <c r="D157" s="2">
        <v>0.12</v>
      </c>
      <c r="E157">
        <v>0.111</v>
      </c>
      <c r="F157">
        <v>0.111</v>
      </c>
      <c r="G157">
        <v>7.0800000000000002E-2</v>
      </c>
      <c r="H157" s="2">
        <f t="shared" si="2"/>
        <v>0.114</v>
      </c>
    </row>
    <row r="158" spans="1:8">
      <c r="A158">
        <v>1987</v>
      </c>
      <c r="B158" t="s">
        <v>310</v>
      </c>
      <c r="C158" t="s">
        <v>317</v>
      </c>
      <c r="D158" s="2">
        <v>0.126</v>
      </c>
      <c r="E158">
        <v>0.11600000000000001</v>
      </c>
      <c r="F158">
        <v>0.11600000000000001</v>
      </c>
      <c r="G158">
        <v>7.0800000000000002E-2</v>
      </c>
      <c r="H158" s="2">
        <f t="shared" si="2"/>
        <v>0.119333333333333</v>
      </c>
    </row>
    <row r="159" spans="1:8">
      <c r="A159">
        <v>1987</v>
      </c>
      <c r="B159" t="s">
        <v>310</v>
      </c>
      <c r="C159" t="s">
        <v>311</v>
      </c>
      <c r="D159" s="2">
        <v>0.1173</v>
      </c>
      <c r="E159">
        <v>0.11</v>
      </c>
      <c r="F159">
        <v>0.111</v>
      </c>
      <c r="G159">
        <v>7.0800000000000002E-2</v>
      </c>
      <c r="H159" s="2">
        <f t="shared" si="2"/>
        <v>0.112766666666667</v>
      </c>
    </row>
    <row r="160" spans="1:8">
      <c r="A160">
        <v>1987</v>
      </c>
      <c r="B160" t="s">
        <v>310</v>
      </c>
      <c r="C160" t="s">
        <v>301</v>
      </c>
      <c r="D160" s="2">
        <v>0.1285</v>
      </c>
      <c r="E160">
        <v>0.11849999999999999</v>
      </c>
      <c r="F160">
        <v>0.1235</v>
      </c>
      <c r="G160">
        <v>7.0800000000000002E-2</v>
      </c>
      <c r="H160" s="2">
        <f t="shared" si="2"/>
        <v>0.1235</v>
      </c>
    </row>
    <row r="161" spans="1:8">
      <c r="A161">
        <v>1987</v>
      </c>
      <c r="B161" t="s">
        <v>310</v>
      </c>
      <c r="C161" t="s">
        <v>322</v>
      </c>
      <c r="D161" s="2">
        <v>0.13500000000000001</v>
      </c>
      <c r="E161">
        <v>0.106</v>
      </c>
      <c r="F161">
        <v>0.1055</v>
      </c>
      <c r="G161">
        <v>7.0800000000000002E-2</v>
      </c>
      <c r="H161" s="2">
        <f t="shared" si="2"/>
        <v>0.11550000000000001</v>
      </c>
    </row>
    <row r="162" spans="1:8">
      <c r="A162">
        <v>1987</v>
      </c>
      <c r="B162" t="s">
        <v>310</v>
      </c>
      <c r="C162" t="s">
        <v>299</v>
      </c>
      <c r="D162" s="2">
        <v>0.11700000000000001</v>
      </c>
      <c r="E162">
        <v>0.1055</v>
      </c>
      <c r="F162">
        <v>0.114</v>
      </c>
      <c r="G162">
        <v>7.0800000000000002E-2</v>
      </c>
      <c r="H162" s="2">
        <f t="shared" si="2"/>
        <v>0.112166666666667</v>
      </c>
    </row>
    <row r="163" spans="1:8">
      <c r="A163">
        <v>1987</v>
      </c>
      <c r="B163" t="s">
        <v>310</v>
      </c>
      <c r="C163" t="s">
        <v>321</v>
      </c>
      <c r="D163" s="2">
        <v>0.11700000000000001</v>
      </c>
      <c r="E163">
        <v>0.107</v>
      </c>
      <c r="F163">
        <v>0.10349999999999999</v>
      </c>
      <c r="G163">
        <v>7.0800000000000002E-2</v>
      </c>
      <c r="H163" s="2">
        <f t="shared" si="2"/>
        <v>0.10916666666666699</v>
      </c>
    </row>
    <row r="164" spans="1:8">
      <c r="A164">
        <v>1988</v>
      </c>
      <c r="B164" t="s">
        <v>310</v>
      </c>
      <c r="C164" t="s">
        <v>301</v>
      </c>
      <c r="D164" s="2">
        <v>0.1245</v>
      </c>
      <c r="E164">
        <v>0.1125</v>
      </c>
      <c r="F164">
        <v>0.11700000000000001</v>
      </c>
      <c r="G164">
        <v>6.7000000000000004E-2</v>
      </c>
      <c r="H164" s="2">
        <f t="shared" si="2"/>
        <v>0.11799999999999999</v>
      </c>
    </row>
    <row r="165" spans="1:8">
      <c r="A165">
        <v>1988</v>
      </c>
      <c r="B165" t="s">
        <v>310</v>
      </c>
      <c r="C165" t="s">
        <v>301</v>
      </c>
      <c r="D165" s="2">
        <v>0.13</v>
      </c>
      <c r="E165">
        <v>0.12</v>
      </c>
      <c r="F165">
        <v>0.125</v>
      </c>
      <c r="G165">
        <v>6.6500000000000004E-2</v>
      </c>
      <c r="H165" s="2">
        <f t="shared" si="2"/>
        <v>0.125</v>
      </c>
    </row>
    <row r="166" spans="1:8">
      <c r="A166">
        <v>1988</v>
      </c>
      <c r="B166" t="s">
        <v>310</v>
      </c>
      <c r="C166" t="s">
        <v>55</v>
      </c>
      <c r="D166" s="2">
        <v>0.125</v>
      </c>
      <c r="E166">
        <v>0.115</v>
      </c>
      <c r="F166">
        <v>0.115</v>
      </c>
      <c r="G166">
        <v>6.6500000000000004E-2</v>
      </c>
      <c r="H166" s="2">
        <f t="shared" si="2"/>
        <v>0.118333333333333</v>
      </c>
    </row>
    <row r="167" spans="1:8">
      <c r="A167">
        <v>1988</v>
      </c>
      <c r="B167" t="s">
        <v>310</v>
      </c>
      <c r="C167" t="s">
        <v>312</v>
      </c>
      <c r="D167" s="2">
        <v>0.14000000000000001</v>
      </c>
      <c r="E167">
        <v>0.13</v>
      </c>
      <c r="F167">
        <v>0.13500000000000001</v>
      </c>
      <c r="G167">
        <v>6.6500000000000004E-2</v>
      </c>
      <c r="H167" s="2">
        <f t="shared" si="2"/>
        <v>0.13500000000000001</v>
      </c>
    </row>
    <row r="168" spans="1:8">
      <c r="A168">
        <v>1988</v>
      </c>
      <c r="B168" t="s">
        <v>310</v>
      </c>
      <c r="C168" t="s">
        <v>311</v>
      </c>
      <c r="D168" s="2">
        <v>0.1283</v>
      </c>
      <c r="E168">
        <v>0.1183</v>
      </c>
      <c r="F168">
        <v>0.1183</v>
      </c>
      <c r="G168">
        <v>6.6500000000000004E-2</v>
      </c>
      <c r="H168" s="2">
        <f t="shared" si="2"/>
        <v>0.121633333333333</v>
      </c>
    </row>
    <row r="169" spans="1:8">
      <c r="A169">
        <v>1988</v>
      </c>
      <c r="B169" t="s">
        <v>310</v>
      </c>
      <c r="C169" t="s">
        <v>299</v>
      </c>
      <c r="D169" s="2">
        <v>0.13500000000000001</v>
      </c>
      <c r="E169">
        <v>0.126</v>
      </c>
      <c r="F169">
        <v>0.13400000000000001</v>
      </c>
      <c r="G169">
        <v>6.6500000000000004E-2</v>
      </c>
      <c r="H169" s="2">
        <f t="shared" si="2"/>
        <v>0.13166666666666699</v>
      </c>
    </row>
    <row r="170" spans="1:8">
      <c r="A170">
        <v>1988</v>
      </c>
      <c r="B170" t="s">
        <v>310</v>
      </c>
      <c r="C170" t="s">
        <v>301</v>
      </c>
      <c r="D170" s="2">
        <v>0.125</v>
      </c>
      <c r="E170">
        <v>0.115</v>
      </c>
      <c r="F170">
        <v>0.114</v>
      </c>
      <c r="G170">
        <v>6.6500000000000004E-2</v>
      </c>
      <c r="H170" s="2">
        <f t="shared" si="2"/>
        <v>0.11799999999999999</v>
      </c>
    </row>
    <row r="171" spans="1:8">
      <c r="A171">
        <v>1988</v>
      </c>
      <c r="B171" t="s">
        <v>310</v>
      </c>
      <c r="C171" t="s">
        <v>311</v>
      </c>
      <c r="D171" s="2">
        <v>0.11700000000000001</v>
      </c>
      <c r="E171">
        <v>0.11</v>
      </c>
      <c r="F171">
        <v>0.1085</v>
      </c>
      <c r="G171">
        <v>6.6500000000000004E-2</v>
      </c>
      <c r="H171" s="2">
        <f t="shared" si="2"/>
        <v>0.11183333333333299</v>
      </c>
    </row>
    <row r="172" spans="1:8">
      <c r="A172">
        <v>1988</v>
      </c>
      <c r="B172" t="s">
        <v>310</v>
      </c>
      <c r="C172" t="s">
        <v>301</v>
      </c>
      <c r="D172" s="2" t="s">
        <v>16</v>
      </c>
      <c r="E172">
        <v>0.12</v>
      </c>
      <c r="F172">
        <v>0.12</v>
      </c>
      <c r="G172">
        <v>6.6500000000000004E-2</v>
      </c>
      <c r="H172" s="2">
        <f t="shared" si="2"/>
        <v>0.12</v>
      </c>
    </row>
    <row r="173" spans="1:8">
      <c r="A173">
        <v>1988</v>
      </c>
      <c r="B173" t="s">
        <v>310</v>
      </c>
      <c r="C173" t="s">
        <v>299</v>
      </c>
      <c r="D173" s="2">
        <v>0.13100000000000001</v>
      </c>
      <c r="E173">
        <v>0.124</v>
      </c>
      <c r="F173">
        <v>0.1265</v>
      </c>
      <c r="G173">
        <v>6.6500000000000004E-2</v>
      </c>
      <c r="H173" s="2">
        <f t="shared" si="2"/>
        <v>0.12716666666666701</v>
      </c>
    </row>
    <row r="174" spans="1:8">
      <c r="A174">
        <v>1988</v>
      </c>
      <c r="B174" t="s">
        <v>310</v>
      </c>
      <c r="C174" t="s">
        <v>312</v>
      </c>
      <c r="D174" s="2">
        <v>0.13250000000000001</v>
      </c>
      <c r="E174">
        <v>0.1255</v>
      </c>
      <c r="F174">
        <v>0.128</v>
      </c>
      <c r="G174">
        <v>6.6500000000000004E-2</v>
      </c>
      <c r="H174" s="2">
        <f t="shared" si="2"/>
        <v>0.12866666666666701</v>
      </c>
    </row>
    <row r="175" spans="1:8">
      <c r="A175">
        <v>1988</v>
      </c>
      <c r="B175" t="s">
        <v>310</v>
      </c>
      <c r="C175" t="s">
        <v>299</v>
      </c>
      <c r="D175" s="2">
        <v>0.11799999999999999</v>
      </c>
      <c r="E175">
        <v>0.108</v>
      </c>
      <c r="F175">
        <v>0.113</v>
      </c>
      <c r="G175">
        <v>6.6500000000000004E-2</v>
      </c>
      <c r="H175" s="2">
        <f t="shared" si="2"/>
        <v>0.113</v>
      </c>
    </row>
    <row r="176" spans="1:8">
      <c r="A176">
        <v>1988</v>
      </c>
      <c r="B176" t="s">
        <v>310</v>
      </c>
      <c r="C176" t="s">
        <v>311</v>
      </c>
      <c r="D176" s="2">
        <v>0.11849999999999999</v>
      </c>
      <c r="E176" t="s">
        <v>16</v>
      </c>
      <c r="F176">
        <v>0.112</v>
      </c>
      <c r="G176">
        <v>6.6500000000000004E-2</v>
      </c>
      <c r="H176" s="2">
        <f t="shared" si="2"/>
        <v>0.11525000000000001</v>
      </c>
    </row>
    <row r="177" spans="1:8">
      <c r="A177">
        <v>1988</v>
      </c>
      <c r="B177" t="s">
        <v>310</v>
      </c>
      <c r="C177" t="s">
        <v>301</v>
      </c>
      <c r="D177" s="2">
        <v>0.125</v>
      </c>
      <c r="E177">
        <v>0.115</v>
      </c>
      <c r="F177">
        <v>0.1145</v>
      </c>
      <c r="G177">
        <v>6.6500000000000004E-2</v>
      </c>
      <c r="H177" s="2">
        <f t="shared" si="2"/>
        <v>0.118166666666667</v>
      </c>
    </row>
    <row r="178" spans="1:8">
      <c r="A178">
        <v>1988</v>
      </c>
      <c r="B178" t="s">
        <v>310</v>
      </c>
      <c r="C178" t="s">
        <v>103</v>
      </c>
      <c r="D178" s="2">
        <v>0.13800000000000001</v>
      </c>
      <c r="E178">
        <v>0.125</v>
      </c>
      <c r="F178">
        <v>0.129</v>
      </c>
      <c r="G178">
        <v>6.6500000000000004E-2</v>
      </c>
      <c r="H178" s="2">
        <f t="shared" si="2"/>
        <v>0.13066666666666699</v>
      </c>
    </row>
    <row r="179" spans="1:8">
      <c r="A179">
        <v>1988</v>
      </c>
      <c r="B179" t="s">
        <v>310</v>
      </c>
      <c r="C179" t="s">
        <v>299</v>
      </c>
      <c r="D179" s="2">
        <v>0.122</v>
      </c>
      <c r="E179">
        <v>0.112</v>
      </c>
      <c r="F179">
        <v>0.112</v>
      </c>
      <c r="G179">
        <v>6.6500000000000004E-2</v>
      </c>
      <c r="H179" s="2">
        <f t="shared" si="2"/>
        <v>0.115333333333333</v>
      </c>
    </row>
    <row r="180" spans="1:8">
      <c r="A180">
        <v>1988</v>
      </c>
      <c r="B180" t="s">
        <v>310</v>
      </c>
      <c r="C180" t="s">
        <v>312</v>
      </c>
      <c r="D180" s="2">
        <v>0.14000000000000001</v>
      </c>
      <c r="E180" t="s">
        <v>16</v>
      </c>
      <c r="F180" t="s">
        <v>16</v>
      </c>
      <c r="G180">
        <v>6.6500000000000004E-2</v>
      </c>
      <c r="H180" s="2">
        <f t="shared" si="2"/>
        <v>0.14000000000000001</v>
      </c>
    </row>
    <row r="181" spans="1:8">
      <c r="A181">
        <v>1988</v>
      </c>
      <c r="B181" t="s">
        <v>310</v>
      </c>
      <c r="C181" t="s">
        <v>312</v>
      </c>
      <c r="D181" s="2">
        <v>0.14000000000000001</v>
      </c>
      <c r="E181">
        <v>0.13300000000000001</v>
      </c>
      <c r="F181">
        <v>0.13800000000000001</v>
      </c>
      <c r="G181">
        <v>6.6500000000000004E-2</v>
      </c>
      <c r="H181" s="2">
        <f t="shared" si="2"/>
        <v>0.13700000000000001</v>
      </c>
    </row>
    <row r="182" spans="1:8">
      <c r="A182">
        <v>1988</v>
      </c>
      <c r="B182" t="s">
        <v>310</v>
      </c>
      <c r="C182" t="s">
        <v>43</v>
      </c>
      <c r="D182" s="2">
        <v>0.12</v>
      </c>
      <c r="E182">
        <v>0.11</v>
      </c>
      <c r="F182">
        <v>0.115</v>
      </c>
      <c r="G182">
        <v>6.6500000000000004E-2</v>
      </c>
      <c r="H182" s="2">
        <f t="shared" si="2"/>
        <v>0.115</v>
      </c>
    </row>
    <row r="183" spans="1:8">
      <c r="A183">
        <v>1988</v>
      </c>
      <c r="B183" t="s">
        <v>310</v>
      </c>
      <c r="C183" t="s">
        <v>314</v>
      </c>
      <c r="D183" s="2">
        <v>0.125</v>
      </c>
      <c r="E183">
        <v>0.115</v>
      </c>
      <c r="F183">
        <v>0.115</v>
      </c>
      <c r="G183">
        <v>6.7400000000000002E-2</v>
      </c>
      <c r="H183" s="2">
        <f t="shared" si="2"/>
        <v>0.118333333333333</v>
      </c>
    </row>
    <row r="184" spans="1:8">
      <c r="A184">
        <v>1988</v>
      </c>
      <c r="B184" t="s">
        <v>310</v>
      </c>
      <c r="C184" t="s">
        <v>311</v>
      </c>
      <c r="D184" s="2">
        <v>0.111</v>
      </c>
      <c r="E184">
        <v>0.1027</v>
      </c>
      <c r="F184">
        <v>0.10349999999999999</v>
      </c>
      <c r="G184">
        <v>6.6900000000000001E-2</v>
      </c>
      <c r="H184" s="2">
        <f t="shared" si="2"/>
        <v>0.105733333333333</v>
      </c>
    </row>
    <row r="185" spans="1:8">
      <c r="A185">
        <v>1988</v>
      </c>
      <c r="B185" t="s">
        <v>310</v>
      </c>
      <c r="C185" t="s">
        <v>311</v>
      </c>
      <c r="D185" s="2">
        <v>0.11749999999999999</v>
      </c>
      <c r="E185">
        <v>0.109</v>
      </c>
      <c r="F185">
        <v>0.11</v>
      </c>
      <c r="G185">
        <v>6.6900000000000001E-2</v>
      </c>
      <c r="H185" s="2">
        <f t="shared" si="2"/>
        <v>0.112166666666667</v>
      </c>
    </row>
    <row r="186" spans="1:8">
      <c r="A186">
        <v>1988</v>
      </c>
      <c r="B186" t="s">
        <v>310</v>
      </c>
      <c r="C186" t="s">
        <v>55</v>
      </c>
      <c r="D186" s="2">
        <v>0.1295</v>
      </c>
      <c r="E186">
        <v>0.11700000000000001</v>
      </c>
      <c r="F186">
        <v>0.11700000000000001</v>
      </c>
      <c r="G186">
        <v>6.6900000000000001E-2</v>
      </c>
      <c r="H186" s="2">
        <f t="shared" si="2"/>
        <v>0.12116666666666701</v>
      </c>
    </row>
    <row r="187" spans="1:8">
      <c r="A187">
        <v>1988</v>
      </c>
      <c r="B187" t="s">
        <v>310</v>
      </c>
      <c r="C187" t="s">
        <v>311</v>
      </c>
      <c r="D187" s="2">
        <v>0.1195</v>
      </c>
      <c r="E187">
        <v>0.1115</v>
      </c>
      <c r="F187">
        <v>0.112</v>
      </c>
      <c r="G187">
        <v>6.6900000000000001E-2</v>
      </c>
      <c r="H187" s="2">
        <f t="shared" si="2"/>
        <v>0.114333333333333</v>
      </c>
    </row>
    <row r="188" spans="1:8">
      <c r="A188">
        <v>1988</v>
      </c>
      <c r="B188" t="s">
        <v>310</v>
      </c>
      <c r="C188" t="s">
        <v>301</v>
      </c>
      <c r="D188" s="2">
        <v>0.11650000000000001</v>
      </c>
      <c r="E188">
        <v>0.1095</v>
      </c>
      <c r="F188">
        <v>0.1075</v>
      </c>
      <c r="G188">
        <v>6.6900000000000001E-2</v>
      </c>
      <c r="H188" s="2">
        <f t="shared" si="2"/>
        <v>0.111166666666667</v>
      </c>
    </row>
    <row r="189" spans="1:8">
      <c r="A189">
        <v>1988</v>
      </c>
      <c r="B189" t="s">
        <v>310</v>
      </c>
      <c r="C189" t="s">
        <v>314</v>
      </c>
      <c r="D189" s="2">
        <v>0.159</v>
      </c>
      <c r="E189">
        <v>0.159</v>
      </c>
      <c r="F189">
        <v>0.159</v>
      </c>
      <c r="G189">
        <v>6.6900000000000001E-2</v>
      </c>
      <c r="H189" s="2">
        <f t="shared" si="2"/>
        <v>0.159</v>
      </c>
    </row>
    <row r="190" spans="1:8">
      <c r="A190">
        <v>1988</v>
      </c>
      <c r="B190" t="s">
        <v>310</v>
      </c>
      <c r="C190" t="s">
        <v>301</v>
      </c>
      <c r="D190" s="2">
        <v>0.125</v>
      </c>
      <c r="E190">
        <v>0.115</v>
      </c>
      <c r="F190">
        <v>0.115</v>
      </c>
      <c r="G190">
        <v>6.6900000000000001E-2</v>
      </c>
      <c r="H190" s="2">
        <f t="shared" si="2"/>
        <v>0.118333333333333</v>
      </c>
    </row>
    <row r="191" spans="1:8">
      <c r="A191">
        <v>1988</v>
      </c>
      <c r="B191" t="s">
        <v>310</v>
      </c>
      <c r="C191" t="s">
        <v>314</v>
      </c>
      <c r="D191" s="2">
        <v>0.159</v>
      </c>
      <c r="E191">
        <v>0.159</v>
      </c>
      <c r="F191">
        <v>0.159</v>
      </c>
      <c r="G191">
        <v>6.6900000000000001E-2</v>
      </c>
      <c r="H191" s="2">
        <f t="shared" si="2"/>
        <v>0.159</v>
      </c>
    </row>
    <row r="192" spans="1:8">
      <c r="A192">
        <v>1988</v>
      </c>
      <c r="B192" t="s">
        <v>310</v>
      </c>
      <c r="C192" t="s">
        <v>314</v>
      </c>
      <c r="D192" s="2">
        <v>0.14799999999999999</v>
      </c>
      <c r="E192">
        <v>0.13750000000000001</v>
      </c>
      <c r="F192">
        <v>0.14249999999999999</v>
      </c>
      <c r="G192">
        <v>6.6900000000000001E-2</v>
      </c>
      <c r="H192" s="2">
        <f t="shared" si="2"/>
        <v>0.142666666666667</v>
      </c>
    </row>
    <row r="193" spans="1:8">
      <c r="A193">
        <v>1988</v>
      </c>
      <c r="B193" t="s">
        <v>310</v>
      </c>
      <c r="C193" t="s">
        <v>322</v>
      </c>
      <c r="D193" s="2">
        <v>0.1215</v>
      </c>
      <c r="E193">
        <v>0.1085</v>
      </c>
      <c r="F193">
        <v>0.1085</v>
      </c>
      <c r="G193">
        <v>6.6900000000000001E-2</v>
      </c>
      <c r="H193" s="2">
        <f t="shared" si="2"/>
        <v>0.11283333333333299</v>
      </c>
    </row>
    <row r="194" spans="1:8">
      <c r="A194">
        <v>1988</v>
      </c>
      <c r="B194" t="s">
        <v>310</v>
      </c>
      <c r="C194" t="s">
        <v>55</v>
      </c>
      <c r="D194" s="2">
        <v>0.122</v>
      </c>
      <c r="E194">
        <v>0.112</v>
      </c>
      <c r="F194">
        <v>0.112</v>
      </c>
      <c r="G194">
        <v>6.6900000000000001E-2</v>
      </c>
      <c r="H194" s="2">
        <f t="shared" ref="H194:H257" si="3">AVERAGE(D194:F194)</f>
        <v>0.115333333333333</v>
      </c>
    </row>
    <row r="195" spans="1:8">
      <c r="A195">
        <v>1988</v>
      </c>
      <c r="B195" t="s">
        <v>310</v>
      </c>
      <c r="C195" t="s">
        <v>311</v>
      </c>
      <c r="D195" s="2">
        <v>0.12</v>
      </c>
      <c r="E195">
        <v>0.1145</v>
      </c>
      <c r="F195">
        <v>0.1145</v>
      </c>
      <c r="G195">
        <v>6.6900000000000001E-2</v>
      </c>
      <c r="H195" s="2">
        <f t="shared" si="3"/>
        <v>0.116333333333333</v>
      </c>
    </row>
    <row r="196" spans="1:8">
      <c r="A196">
        <v>1988</v>
      </c>
      <c r="B196" t="s">
        <v>310</v>
      </c>
      <c r="C196" t="s">
        <v>314</v>
      </c>
      <c r="D196" s="2">
        <v>0.1225</v>
      </c>
      <c r="E196">
        <v>0.111</v>
      </c>
      <c r="F196">
        <v>0.109</v>
      </c>
      <c r="G196">
        <v>6.6900000000000001E-2</v>
      </c>
      <c r="H196" s="2">
        <f t="shared" si="3"/>
        <v>0.114166666666667</v>
      </c>
    </row>
    <row r="197" spans="1:8">
      <c r="A197">
        <v>1988</v>
      </c>
      <c r="B197" t="s">
        <v>310</v>
      </c>
      <c r="C197" t="s">
        <v>301</v>
      </c>
      <c r="D197" s="2">
        <v>0.11650000000000001</v>
      </c>
      <c r="E197">
        <v>0.109</v>
      </c>
      <c r="F197">
        <v>0.109</v>
      </c>
      <c r="G197">
        <v>6.6900000000000001E-2</v>
      </c>
      <c r="H197" s="2">
        <f t="shared" si="3"/>
        <v>0.1115</v>
      </c>
    </row>
    <row r="198" spans="1:8">
      <c r="A198">
        <v>1988</v>
      </c>
      <c r="B198" t="s">
        <v>310</v>
      </c>
      <c r="C198" t="s">
        <v>322</v>
      </c>
      <c r="D198" s="2">
        <v>0.13500000000000001</v>
      </c>
      <c r="E198">
        <v>0.106</v>
      </c>
      <c r="F198">
        <v>0.1055</v>
      </c>
      <c r="G198">
        <v>6.6900000000000001E-2</v>
      </c>
      <c r="H198" s="2">
        <f t="shared" si="3"/>
        <v>0.11550000000000001</v>
      </c>
    </row>
    <row r="199" spans="1:8">
      <c r="A199">
        <v>1988</v>
      </c>
      <c r="B199" t="s">
        <v>310</v>
      </c>
      <c r="C199" t="s">
        <v>314</v>
      </c>
      <c r="D199" s="2">
        <v>0.1225</v>
      </c>
      <c r="E199">
        <v>0.111</v>
      </c>
      <c r="F199">
        <v>0.109</v>
      </c>
      <c r="G199">
        <v>6.6900000000000001E-2</v>
      </c>
      <c r="H199" s="2">
        <f t="shared" si="3"/>
        <v>0.114166666666667</v>
      </c>
    </row>
    <row r="200" spans="1:8">
      <c r="A200">
        <v>1988</v>
      </c>
      <c r="B200" t="s">
        <v>310</v>
      </c>
      <c r="C200" t="s">
        <v>321</v>
      </c>
      <c r="D200" s="2">
        <v>0.11700000000000001</v>
      </c>
      <c r="E200">
        <v>0.11</v>
      </c>
      <c r="F200">
        <v>0.11</v>
      </c>
      <c r="G200">
        <v>6.6900000000000001E-2</v>
      </c>
      <c r="H200" s="2">
        <f t="shared" si="3"/>
        <v>0.11233333333333299</v>
      </c>
    </row>
    <row r="201" spans="1:8">
      <c r="A201">
        <v>1989</v>
      </c>
      <c r="B201" t="s">
        <v>310</v>
      </c>
      <c r="C201" t="s">
        <v>43</v>
      </c>
      <c r="D201" s="2">
        <v>0.125</v>
      </c>
      <c r="E201">
        <v>0.115</v>
      </c>
      <c r="F201">
        <v>0.12</v>
      </c>
      <c r="G201">
        <v>7.6700000000000004E-2</v>
      </c>
      <c r="H201" s="2">
        <f t="shared" si="3"/>
        <v>0.12</v>
      </c>
    </row>
    <row r="202" spans="1:8">
      <c r="A202">
        <v>1989</v>
      </c>
      <c r="B202" t="s">
        <v>310</v>
      </c>
      <c r="C202" t="s">
        <v>323</v>
      </c>
      <c r="D202" s="2">
        <v>0.1225</v>
      </c>
      <c r="E202">
        <v>0.112</v>
      </c>
      <c r="F202">
        <v>0.115</v>
      </c>
      <c r="G202">
        <v>7.0000000000000007E-2</v>
      </c>
      <c r="H202" s="2">
        <f t="shared" si="3"/>
        <v>0.11650000000000001</v>
      </c>
    </row>
    <row r="203" spans="1:8">
      <c r="A203">
        <v>1989</v>
      </c>
      <c r="B203" t="s">
        <v>310</v>
      </c>
      <c r="C203" t="s">
        <v>301</v>
      </c>
      <c r="D203" s="2">
        <v>0.125</v>
      </c>
      <c r="E203">
        <v>0.12</v>
      </c>
      <c r="F203">
        <v>0.125</v>
      </c>
      <c r="G203">
        <v>7.0599999999999996E-2</v>
      </c>
      <c r="H203" s="2">
        <f t="shared" si="3"/>
        <v>0.123333333333333</v>
      </c>
    </row>
    <row r="204" spans="1:8">
      <c r="A204">
        <v>1989</v>
      </c>
      <c r="B204" t="s">
        <v>310</v>
      </c>
      <c r="C204" t="s">
        <v>299</v>
      </c>
      <c r="D204" s="2">
        <v>0.13250000000000001</v>
      </c>
      <c r="E204">
        <v>0.1225</v>
      </c>
      <c r="F204">
        <v>0.1275</v>
      </c>
      <c r="G204">
        <v>7.0599999999999996E-2</v>
      </c>
      <c r="H204" s="2">
        <f t="shared" si="3"/>
        <v>0.1275</v>
      </c>
    </row>
    <row r="205" spans="1:8">
      <c r="A205">
        <v>1989</v>
      </c>
      <c r="B205" t="s">
        <v>310</v>
      </c>
      <c r="C205" t="s">
        <v>299</v>
      </c>
      <c r="D205" s="2">
        <v>0.12909999999999999</v>
      </c>
      <c r="E205">
        <v>0.11799999999999999</v>
      </c>
      <c r="F205">
        <v>0.1234</v>
      </c>
      <c r="G205">
        <v>7.0599999999999996E-2</v>
      </c>
      <c r="H205" s="2">
        <f t="shared" si="3"/>
        <v>0.1235</v>
      </c>
    </row>
    <row r="206" spans="1:8">
      <c r="A206">
        <v>1989</v>
      </c>
      <c r="B206" t="s">
        <v>310</v>
      </c>
      <c r="C206" t="s">
        <v>299</v>
      </c>
      <c r="D206" s="2">
        <v>0.13250000000000001</v>
      </c>
      <c r="E206">
        <v>0.1255</v>
      </c>
      <c r="F206">
        <v>0.1305</v>
      </c>
      <c r="G206">
        <v>7.0599999999999996E-2</v>
      </c>
      <c r="H206" s="2">
        <f t="shared" si="3"/>
        <v>0.1295</v>
      </c>
    </row>
    <row r="207" spans="1:8">
      <c r="A207">
        <v>1989</v>
      </c>
      <c r="B207" t="s">
        <v>310</v>
      </c>
      <c r="C207" t="s">
        <v>55</v>
      </c>
      <c r="D207" s="2">
        <v>0.13639999999999999</v>
      </c>
      <c r="E207">
        <v>0.1275</v>
      </c>
      <c r="F207">
        <v>0.12540000000000001</v>
      </c>
      <c r="G207">
        <v>7.0599999999999996E-2</v>
      </c>
      <c r="H207" s="2">
        <f t="shared" si="3"/>
        <v>0.129766666666667</v>
      </c>
    </row>
    <row r="208" spans="1:8">
      <c r="A208">
        <v>1989</v>
      </c>
      <c r="B208" t="s">
        <v>310</v>
      </c>
      <c r="C208" t="s">
        <v>299</v>
      </c>
      <c r="D208" s="2">
        <v>0.14000000000000001</v>
      </c>
      <c r="E208" t="s">
        <v>16</v>
      </c>
      <c r="F208" t="s">
        <v>16</v>
      </c>
      <c r="G208">
        <v>7.0699999999999999E-2</v>
      </c>
      <c r="H208" s="2">
        <f t="shared" si="3"/>
        <v>0.14000000000000001</v>
      </c>
    </row>
    <row r="209" spans="1:8">
      <c r="A209">
        <v>1989</v>
      </c>
      <c r="B209" t="s">
        <v>310</v>
      </c>
      <c r="C209" t="s">
        <v>43</v>
      </c>
      <c r="D209" s="2">
        <v>0.1225</v>
      </c>
      <c r="E209">
        <v>0.112</v>
      </c>
      <c r="F209">
        <v>0.115</v>
      </c>
      <c r="G209">
        <v>7.0699999999999999E-2</v>
      </c>
      <c r="H209" s="2">
        <f t="shared" si="3"/>
        <v>0.11650000000000001</v>
      </c>
    </row>
    <row r="210" spans="1:8">
      <c r="A210">
        <v>1989</v>
      </c>
      <c r="B210" t="s">
        <v>310</v>
      </c>
      <c r="C210" t="s">
        <v>311</v>
      </c>
      <c r="D210" s="2">
        <v>0.12740000000000001</v>
      </c>
      <c r="E210">
        <v>0.11650000000000001</v>
      </c>
      <c r="F210">
        <v>0.11650000000000001</v>
      </c>
      <c r="G210">
        <v>7.0699999999999999E-2</v>
      </c>
      <c r="H210" s="2">
        <f t="shared" si="3"/>
        <v>0.120133333333333</v>
      </c>
    </row>
    <row r="211" spans="1:8">
      <c r="A211">
        <v>1989</v>
      </c>
      <c r="B211" t="s">
        <v>310</v>
      </c>
      <c r="C211" t="s">
        <v>299</v>
      </c>
      <c r="D211" s="2">
        <v>0.13250000000000001</v>
      </c>
      <c r="E211">
        <v>0.1225</v>
      </c>
      <c r="F211">
        <v>0.1275</v>
      </c>
      <c r="G211">
        <v>7.0699999999999999E-2</v>
      </c>
      <c r="H211" s="2">
        <f t="shared" si="3"/>
        <v>0.1275</v>
      </c>
    </row>
    <row r="212" spans="1:8">
      <c r="A212">
        <v>1989</v>
      </c>
      <c r="B212" t="s">
        <v>310</v>
      </c>
      <c r="C212" t="s">
        <v>299</v>
      </c>
      <c r="D212" s="2">
        <v>0.1275</v>
      </c>
      <c r="E212">
        <v>0.11600000000000001</v>
      </c>
      <c r="F212">
        <v>0.115</v>
      </c>
      <c r="G212">
        <v>7.0699999999999999E-2</v>
      </c>
      <c r="H212" s="2">
        <f t="shared" si="3"/>
        <v>0.1195</v>
      </c>
    </row>
    <row r="213" spans="1:8">
      <c r="A213">
        <v>1989</v>
      </c>
      <c r="B213" t="s">
        <v>310</v>
      </c>
      <c r="C213" t="s">
        <v>311</v>
      </c>
      <c r="D213" s="2">
        <v>0.12690000000000001</v>
      </c>
      <c r="E213" t="s">
        <v>16</v>
      </c>
      <c r="F213">
        <v>0.1157</v>
      </c>
      <c r="G213">
        <v>7.0699999999999999E-2</v>
      </c>
      <c r="H213" s="2">
        <f t="shared" si="3"/>
        <v>0.12130000000000001</v>
      </c>
    </row>
    <row r="214" spans="1:8">
      <c r="A214">
        <v>1989</v>
      </c>
      <c r="B214" t="s">
        <v>310</v>
      </c>
      <c r="C214" t="s">
        <v>314</v>
      </c>
      <c r="D214" s="2">
        <v>0.12239999999999999</v>
      </c>
      <c r="E214">
        <v>0.1124</v>
      </c>
      <c r="F214">
        <v>0.1124</v>
      </c>
      <c r="G214">
        <v>7.0699999999999999E-2</v>
      </c>
      <c r="H214" s="2">
        <f t="shared" si="3"/>
        <v>0.11573333333333299</v>
      </c>
    </row>
    <row r="215" spans="1:8">
      <c r="A215">
        <v>1989</v>
      </c>
      <c r="B215" t="s">
        <v>310</v>
      </c>
      <c r="C215" t="s">
        <v>103</v>
      </c>
      <c r="D215" s="2">
        <v>0.13800000000000001</v>
      </c>
      <c r="E215">
        <v>0.129</v>
      </c>
      <c r="F215">
        <v>0.13600000000000001</v>
      </c>
      <c r="G215">
        <v>7.0699999999999999E-2</v>
      </c>
      <c r="H215" s="2">
        <f t="shared" si="3"/>
        <v>0.134333333333333</v>
      </c>
    </row>
    <row r="216" spans="1:8">
      <c r="A216">
        <v>1989</v>
      </c>
      <c r="B216" t="s">
        <v>310</v>
      </c>
      <c r="C216" t="s">
        <v>299</v>
      </c>
      <c r="D216" s="2">
        <v>0.128</v>
      </c>
      <c r="E216">
        <v>0.11899999999999999</v>
      </c>
      <c r="F216">
        <v>0.11700000000000001</v>
      </c>
      <c r="G216">
        <v>7.0699999999999999E-2</v>
      </c>
      <c r="H216" s="2">
        <f t="shared" si="3"/>
        <v>0.121333333333333</v>
      </c>
    </row>
    <row r="217" spans="1:8">
      <c r="A217">
        <v>1989</v>
      </c>
      <c r="B217" t="s">
        <v>310</v>
      </c>
      <c r="C217" t="s">
        <v>301</v>
      </c>
      <c r="D217" s="2">
        <v>0.129</v>
      </c>
      <c r="E217">
        <v>0.11799999999999999</v>
      </c>
      <c r="F217">
        <v>0.11899999999999999</v>
      </c>
      <c r="G217">
        <v>7.1900000000000006E-2</v>
      </c>
      <c r="H217" s="2">
        <f t="shared" si="3"/>
        <v>0.122</v>
      </c>
    </row>
    <row r="218" spans="1:8">
      <c r="A218">
        <v>1989</v>
      </c>
      <c r="B218" t="s">
        <v>310</v>
      </c>
      <c r="C218" t="s">
        <v>299</v>
      </c>
      <c r="D218" s="2">
        <v>0.14000000000000001</v>
      </c>
      <c r="E218">
        <v>0.13</v>
      </c>
      <c r="F218">
        <v>0.13500000000000001</v>
      </c>
      <c r="G218">
        <v>7.1900000000000006E-2</v>
      </c>
      <c r="H218" s="2">
        <f t="shared" si="3"/>
        <v>0.13500000000000001</v>
      </c>
    </row>
    <row r="219" spans="1:8">
      <c r="A219">
        <v>1989</v>
      </c>
      <c r="B219" t="s">
        <v>310</v>
      </c>
      <c r="C219" t="s">
        <v>43</v>
      </c>
      <c r="D219" s="2">
        <v>0.12</v>
      </c>
      <c r="E219">
        <v>0.11</v>
      </c>
      <c r="F219">
        <v>0.113</v>
      </c>
      <c r="G219">
        <v>7.1900000000000006E-2</v>
      </c>
      <c r="H219" s="2">
        <f t="shared" si="3"/>
        <v>0.114333333333333</v>
      </c>
    </row>
    <row r="220" spans="1:8">
      <c r="A220">
        <v>1989</v>
      </c>
      <c r="B220" t="s">
        <v>310</v>
      </c>
      <c r="C220" t="s">
        <v>301</v>
      </c>
      <c r="D220" s="2">
        <v>0.129</v>
      </c>
      <c r="E220">
        <v>0.129</v>
      </c>
      <c r="F220">
        <v>0.129</v>
      </c>
      <c r="G220">
        <v>7.4200000000000002E-2</v>
      </c>
      <c r="H220" s="2">
        <f t="shared" si="3"/>
        <v>0.129</v>
      </c>
    </row>
    <row r="221" spans="1:8">
      <c r="A221">
        <v>1989</v>
      </c>
      <c r="B221" t="s">
        <v>310</v>
      </c>
      <c r="C221" t="s">
        <v>55</v>
      </c>
      <c r="D221" s="2">
        <v>0.12239999999999999</v>
      </c>
      <c r="E221">
        <v>0.1124</v>
      </c>
      <c r="F221">
        <v>0.1124</v>
      </c>
      <c r="G221">
        <v>7.0400000000000004E-2</v>
      </c>
      <c r="H221" s="2">
        <f t="shared" si="3"/>
        <v>0.11573333333333299</v>
      </c>
    </row>
    <row r="222" spans="1:8">
      <c r="A222">
        <v>1989</v>
      </c>
      <c r="B222" t="s">
        <v>310</v>
      </c>
      <c r="C222" t="s">
        <v>301</v>
      </c>
      <c r="D222" s="2">
        <v>0.129</v>
      </c>
      <c r="E222">
        <v>0.12</v>
      </c>
      <c r="F222">
        <v>0.12</v>
      </c>
      <c r="G222">
        <v>7.0900000000000005E-2</v>
      </c>
      <c r="H222" s="2">
        <f t="shared" si="3"/>
        <v>0.123</v>
      </c>
    </row>
    <row r="223" spans="1:8">
      <c r="A223">
        <v>1989</v>
      </c>
      <c r="B223" t="s">
        <v>310</v>
      </c>
      <c r="C223" t="s">
        <v>311</v>
      </c>
      <c r="D223" s="2">
        <v>0.1249</v>
      </c>
      <c r="E223">
        <v>0.1147</v>
      </c>
      <c r="F223">
        <v>0.1137</v>
      </c>
      <c r="G223">
        <v>7.0900000000000005E-2</v>
      </c>
      <c r="H223" s="2">
        <f t="shared" si="3"/>
        <v>0.11776666666666701</v>
      </c>
    </row>
    <row r="224" spans="1:8">
      <c r="A224">
        <v>1989</v>
      </c>
      <c r="B224" t="s">
        <v>310</v>
      </c>
      <c r="C224" t="s">
        <v>55</v>
      </c>
      <c r="D224" s="2">
        <v>0.1293</v>
      </c>
      <c r="E224">
        <v>0.12039999999999999</v>
      </c>
      <c r="F224">
        <v>0.1183</v>
      </c>
      <c r="G224">
        <v>7.0900000000000005E-2</v>
      </c>
      <c r="H224" s="2">
        <f t="shared" si="3"/>
        <v>0.12266666666666701</v>
      </c>
    </row>
    <row r="225" spans="1:8">
      <c r="A225">
        <v>1989</v>
      </c>
      <c r="B225" t="s">
        <v>310</v>
      </c>
      <c r="C225" t="s">
        <v>317</v>
      </c>
      <c r="D225" s="2">
        <v>0.1195</v>
      </c>
      <c r="E225">
        <v>0.1115</v>
      </c>
      <c r="F225">
        <v>0.1115</v>
      </c>
      <c r="G225">
        <v>7.1099999999999997E-2</v>
      </c>
      <c r="H225" s="2">
        <f t="shared" si="3"/>
        <v>0.114166666666667</v>
      </c>
    </row>
    <row r="226" spans="1:8">
      <c r="A226">
        <v>1989</v>
      </c>
      <c r="B226" t="s">
        <v>310</v>
      </c>
      <c r="C226" t="s">
        <v>314</v>
      </c>
      <c r="D226" s="2">
        <v>0.1225</v>
      </c>
      <c r="E226">
        <v>0.111</v>
      </c>
      <c r="F226">
        <v>0.109</v>
      </c>
      <c r="G226">
        <v>7.1099999999999997E-2</v>
      </c>
      <c r="H226" s="2">
        <f t="shared" si="3"/>
        <v>0.114166666666667</v>
      </c>
    </row>
    <row r="227" spans="1:8">
      <c r="A227">
        <v>1989</v>
      </c>
      <c r="B227" t="s">
        <v>310</v>
      </c>
      <c r="C227" t="s">
        <v>301</v>
      </c>
      <c r="D227" s="2">
        <v>0.129</v>
      </c>
      <c r="E227">
        <v>0.1195</v>
      </c>
      <c r="F227">
        <v>0.11849999999999999</v>
      </c>
      <c r="G227">
        <v>7.1099999999999997E-2</v>
      </c>
      <c r="H227" s="2">
        <f t="shared" si="3"/>
        <v>0.122333333333333</v>
      </c>
    </row>
    <row r="228" spans="1:8">
      <c r="A228">
        <v>1989</v>
      </c>
      <c r="B228" t="s">
        <v>310</v>
      </c>
      <c r="C228" t="s">
        <v>322</v>
      </c>
      <c r="D228" s="2">
        <v>0.15</v>
      </c>
      <c r="E228">
        <v>0.1045</v>
      </c>
      <c r="F228">
        <v>0.1045</v>
      </c>
      <c r="G228">
        <v>7.1099999999999997E-2</v>
      </c>
      <c r="H228" s="2">
        <f t="shared" si="3"/>
        <v>0.119666666666667</v>
      </c>
    </row>
    <row r="229" spans="1:8">
      <c r="A229">
        <v>1989</v>
      </c>
      <c r="B229" t="s">
        <v>310</v>
      </c>
      <c r="C229" t="s">
        <v>314</v>
      </c>
      <c r="D229" s="2">
        <v>0.13850000000000001</v>
      </c>
      <c r="E229">
        <v>0.1285</v>
      </c>
      <c r="F229">
        <v>0.1285</v>
      </c>
      <c r="G229">
        <v>7.1099999999999997E-2</v>
      </c>
      <c r="H229" s="2">
        <f t="shared" si="3"/>
        <v>0.131833333333333</v>
      </c>
    </row>
    <row r="230" spans="1:8">
      <c r="A230">
        <v>1989</v>
      </c>
      <c r="B230" t="s">
        <v>310</v>
      </c>
      <c r="C230" t="s">
        <v>314</v>
      </c>
      <c r="D230" s="2">
        <v>0.13700000000000001</v>
      </c>
      <c r="E230">
        <v>0.1295</v>
      </c>
      <c r="F230">
        <v>0.13200000000000001</v>
      </c>
      <c r="G230">
        <v>7.1099999999999997E-2</v>
      </c>
      <c r="H230" s="2">
        <f t="shared" si="3"/>
        <v>0.132833333333333</v>
      </c>
    </row>
    <row r="231" spans="1:8">
      <c r="A231">
        <v>1989</v>
      </c>
      <c r="B231" t="s">
        <v>310</v>
      </c>
      <c r="C231" t="s">
        <v>314</v>
      </c>
      <c r="D231" s="2">
        <v>0.125</v>
      </c>
      <c r="E231">
        <v>0.1135</v>
      </c>
      <c r="F231">
        <v>0.115</v>
      </c>
      <c r="G231">
        <v>7.1099999999999997E-2</v>
      </c>
      <c r="H231" s="2">
        <f t="shared" si="3"/>
        <v>0.117833333333333</v>
      </c>
    </row>
    <row r="232" spans="1:8">
      <c r="A232">
        <v>1989</v>
      </c>
      <c r="B232" t="s">
        <v>310</v>
      </c>
      <c r="C232" t="s">
        <v>55</v>
      </c>
      <c r="D232" s="2">
        <v>0.12330000000000001</v>
      </c>
      <c r="E232">
        <v>0.1144</v>
      </c>
      <c r="F232">
        <v>0.12330000000000001</v>
      </c>
      <c r="G232">
        <v>7.1099999999999997E-2</v>
      </c>
      <c r="H232" s="2">
        <f t="shared" si="3"/>
        <v>0.120333333333333</v>
      </c>
    </row>
    <row r="233" spans="1:8">
      <c r="A233">
        <v>1989</v>
      </c>
      <c r="B233" t="s">
        <v>310</v>
      </c>
      <c r="C233" t="s">
        <v>299</v>
      </c>
      <c r="D233" s="2">
        <v>0.13</v>
      </c>
      <c r="E233">
        <v>0.11799999999999999</v>
      </c>
      <c r="F233">
        <v>0.11799999999999999</v>
      </c>
      <c r="G233">
        <v>7.22E-2</v>
      </c>
      <c r="H233" s="2">
        <f t="shared" si="3"/>
        <v>0.122</v>
      </c>
    </row>
    <row r="234" spans="1:8">
      <c r="A234">
        <v>1989</v>
      </c>
      <c r="B234" t="s">
        <v>310</v>
      </c>
      <c r="C234" t="s">
        <v>301</v>
      </c>
      <c r="D234" s="2">
        <v>0.12330000000000001</v>
      </c>
      <c r="E234">
        <v>0.1143</v>
      </c>
      <c r="F234">
        <v>0.12330000000000001</v>
      </c>
      <c r="G234">
        <v>7.22E-2</v>
      </c>
      <c r="H234" s="2">
        <f t="shared" si="3"/>
        <v>0.1203</v>
      </c>
    </row>
    <row r="235" spans="1:8">
      <c r="A235">
        <v>1989</v>
      </c>
      <c r="B235" t="s">
        <v>310</v>
      </c>
      <c r="C235" t="s">
        <v>314</v>
      </c>
      <c r="D235" s="2">
        <v>0.13850000000000001</v>
      </c>
      <c r="E235">
        <v>0.1285</v>
      </c>
      <c r="F235">
        <v>0.1285</v>
      </c>
      <c r="G235">
        <v>7.22E-2</v>
      </c>
      <c r="H235" s="2">
        <f t="shared" si="3"/>
        <v>0.131833333333333</v>
      </c>
    </row>
    <row r="236" spans="1:8">
      <c r="A236">
        <v>1989</v>
      </c>
      <c r="B236" t="s">
        <v>310</v>
      </c>
      <c r="C236" t="s">
        <v>301</v>
      </c>
      <c r="D236" s="2">
        <v>0.129</v>
      </c>
      <c r="E236">
        <v>0.12</v>
      </c>
      <c r="F236">
        <v>0.12</v>
      </c>
      <c r="G236">
        <v>7.22E-2</v>
      </c>
      <c r="H236" s="2">
        <f t="shared" si="3"/>
        <v>0.123</v>
      </c>
    </row>
    <row r="237" spans="1:8">
      <c r="A237">
        <v>1989</v>
      </c>
      <c r="B237" t="s">
        <v>310</v>
      </c>
      <c r="C237" t="s">
        <v>322</v>
      </c>
      <c r="D237" s="2">
        <v>0.15</v>
      </c>
      <c r="E237">
        <v>0.115</v>
      </c>
      <c r="F237">
        <v>0.1075</v>
      </c>
      <c r="G237">
        <v>7.22E-2</v>
      </c>
      <c r="H237" s="2">
        <f t="shared" si="3"/>
        <v>0.12416666666666699</v>
      </c>
    </row>
    <row r="238" spans="1:8">
      <c r="A238">
        <v>1989</v>
      </c>
      <c r="B238" t="s">
        <v>310</v>
      </c>
      <c r="C238" t="s">
        <v>314</v>
      </c>
      <c r="D238" s="2">
        <v>0.12239999999999999</v>
      </c>
      <c r="E238">
        <v>0.1144</v>
      </c>
      <c r="F238">
        <v>0.1144</v>
      </c>
      <c r="G238">
        <v>7.22E-2</v>
      </c>
      <c r="H238" s="2">
        <f t="shared" si="3"/>
        <v>0.117066666666667</v>
      </c>
    </row>
    <row r="239" spans="1:8">
      <c r="A239">
        <v>1990</v>
      </c>
      <c r="B239" t="s">
        <v>310</v>
      </c>
      <c r="C239" t="s">
        <v>323</v>
      </c>
      <c r="D239" s="2">
        <v>0.1525</v>
      </c>
      <c r="E239">
        <v>0.14499999999999999</v>
      </c>
      <c r="F239">
        <v>0.14899999999999999</v>
      </c>
      <c r="G239">
        <v>7.5600000000000001E-2</v>
      </c>
      <c r="H239" s="2">
        <f t="shared" si="3"/>
        <v>0.14883333333333301</v>
      </c>
    </row>
    <row r="240" spans="1:8">
      <c r="A240">
        <v>1990</v>
      </c>
      <c r="B240" t="s">
        <v>310</v>
      </c>
      <c r="C240" t="s">
        <v>301</v>
      </c>
      <c r="D240" s="2">
        <v>0.16500000000000001</v>
      </c>
      <c r="E240">
        <v>0.157</v>
      </c>
      <c r="F240">
        <v>0.16</v>
      </c>
      <c r="G240">
        <v>7.7200000000000005E-2</v>
      </c>
      <c r="H240" s="2">
        <f t="shared" si="3"/>
        <v>0.16066666666666701</v>
      </c>
    </row>
    <row r="241" spans="1:8">
      <c r="A241">
        <v>1990</v>
      </c>
      <c r="B241" t="s">
        <v>310</v>
      </c>
      <c r="C241" t="s">
        <v>299</v>
      </c>
      <c r="D241" s="2">
        <v>0.16300000000000001</v>
      </c>
      <c r="E241">
        <v>0.154</v>
      </c>
      <c r="F241">
        <v>0.161</v>
      </c>
      <c r="G241">
        <v>7.7200000000000005E-2</v>
      </c>
      <c r="H241" s="2">
        <f t="shared" si="3"/>
        <v>0.15933333333333299</v>
      </c>
    </row>
    <row r="242" spans="1:8">
      <c r="A242">
        <v>1990</v>
      </c>
      <c r="B242" t="s">
        <v>310</v>
      </c>
      <c r="C242" t="s">
        <v>301</v>
      </c>
      <c r="D242" s="2">
        <v>0.16300000000000001</v>
      </c>
      <c r="E242">
        <v>0.152</v>
      </c>
      <c r="F242">
        <v>0.153</v>
      </c>
      <c r="G242">
        <v>7.7200000000000005E-2</v>
      </c>
      <c r="H242" s="2">
        <f t="shared" si="3"/>
        <v>0.156</v>
      </c>
    </row>
    <row r="243" spans="1:8">
      <c r="A243">
        <v>1990</v>
      </c>
      <c r="B243" t="s">
        <v>310</v>
      </c>
      <c r="C243" t="s">
        <v>299</v>
      </c>
      <c r="D243" s="2">
        <v>0.16300000000000001</v>
      </c>
      <c r="E243">
        <v>0.154</v>
      </c>
      <c r="F243">
        <v>0.161</v>
      </c>
      <c r="G243">
        <v>7.7200000000000005E-2</v>
      </c>
      <c r="H243" s="2">
        <f t="shared" si="3"/>
        <v>0.15933333333333299</v>
      </c>
    </row>
    <row r="244" spans="1:8">
      <c r="A244">
        <v>1990</v>
      </c>
      <c r="B244" t="s">
        <v>310</v>
      </c>
      <c r="C244" t="s">
        <v>55</v>
      </c>
      <c r="D244" s="2">
        <v>0.15690000000000001</v>
      </c>
      <c r="E244">
        <v>0.15490000000000001</v>
      </c>
      <c r="F244">
        <v>0.15290000000000001</v>
      </c>
      <c r="G244">
        <v>7.7200000000000005E-2</v>
      </c>
      <c r="H244" s="2">
        <f t="shared" si="3"/>
        <v>0.15490000000000001</v>
      </c>
    </row>
    <row r="245" spans="1:8">
      <c r="A245">
        <v>1990</v>
      </c>
      <c r="B245" t="s">
        <v>310</v>
      </c>
      <c r="C245" t="s">
        <v>299</v>
      </c>
      <c r="D245" s="2">
        <v>0.156</v>
      </c>
      <c r="E245">
        <v>0.152</v>
      </c>
      <c r="F245">
        <v>0.152</v>
      </c>
      <c r="G245">
        <v>7.7200000000000005E-2</v>
      </c>
      <c r="H245" s="2">
        <f t="shared" si="3"/>
        <v>0.15333333333333299</v>
      </c>
    </row>
    <row r="246" spans="1:8">
      <c r="A246">
        <v>1990</v>
      </c>
      <c r="B246" t="s">
        <v>310</v>
      </c>
      <c r="C246" t="s">
        <v>301</v>
      </c>
      <c r="D246" s="2">
        <v>0.16500000000000001</v>
      </c>
      <c r="E246">
        <v>0.155</v>
      </c>
      <c r="F246">
        <v>0.16</v>
      </c>
      <c r="G246">
        <v>7.9699999999999993E-2</v>
      </c>
      <c r="H246" s="2">
        <f t="shared" si="3"/>
        <v>0.16</v>
      </c>
    </row>
    <row r="247" spans="1:8">
      <c r="A247">
        <v>1990</v>
      </c>
      <c r="B247" t="s">
        <v>310</v>
      </c>
      <c r="C247" t="s">
        <v>43</v>
      </c>
      <c r="D247" s="2">
        <v>0.14899999999999999</v>
      </c>
      <c r="E247">
        <v>0.13900000000000001</v>
      </c>
      <c r="F247">
        <v>0.14299999999999999</v>
      </c>
      <c r="G247">
        <v>7.9699999999999993E-2</v>
      </c>
      <c r="H247" s="2">
        <f t="shared" si="3"/>
        <v>0.143666666666667</v>
      </c>
    </row>
    <row r="248" spans="1:8">
      <c r="A248">
        <v>1990</v>
      </c>
      <c r="B248" t="s">
        <v>310</v>
      </c>
      <c r="C248" t="s">
        <v>301</v>
      </c>
      <c r="D248" s="2">
        <v>0.16800000000000001</v>
      </c>
      <c r="E248">
        <v>0.157</v>
      </c>
      <c r="F248">
        <v>0.158</v>
      </c>
      <c r="G248">
        <v>7.9699999999999993E-2</v>
      </c>
      <c r="H248" s="2">
        <f t="shared" si="3"/>
        <v>0.161</v>
      </c>
    </row>
    <row r="249" spans="1:8">
      <c r="A249">
        <v>1990</v>
      </c>
      <c r="B249" t="s">
        <v>310</v>
      </c>
      <c r="C249" t="s">
        <v>301</v>
      </c>
      <c r="D249" s="2">
        <v>0.16900000000000001</v>
      </c>
      <c r="E249">
        <v>0.16900000000000001</v>
      </c>
      <c r="F249" t="s">
        <v>16</v>
      </c>
      <c r="G249">
        <v>7.9699999999999993E-2</v>
      </c>
      <c r="H249" s="2">
        <f t="shared" si="3"/>
        <v>0.16900000000000001</v>
      </c>
    </row>
    <row r="250" spans="1:8">
      <c r="A250">
        <v>1990</v>
      </c>
      <c r="B250" t="s">
        <v>310</v>
      </c>
      <c r="C250" t="s">
        <v>299</v>
      </c>
      <c r="D250" s="2">
        <v>0.16300000000000001</v>
      </c>
      <c r="E250">
        <v>0.154</v>
      </c>
      <c r="F250">
        <v>0.161</v>
      </c>
      <c r="G250">
        <v>7.9699999999999993E-2</v>
      </c>
      <c r="H250" s="2">
        <f t="shared" si="3"/>
        <v>0.15933333333333299</v>
      </c>
    </row>
    <row r="251" spans="1:8">
      <c r="A251">
        <v>1990</v>
      </c>
      <c r="B251" t="s">
        <v>310</v>
      </c>
      <c r="C251" t="s">
        <v>299</v>
      </c>
      <c r="D251" s="2">
        <v>0.151</v>
      </c>
      <c r="E251">
        <v>0.14499999999999999</v>
      </c>
      <c r="F251">
        <v>0.14499999999999999</v>
      </c>
      <c r="G251">
        <v>7.9699999999999993E-2</v>
      </c>
      <c r="H251" s="2">
        <f t="shared" si="3"/>
        <v>0.14699999999999999</v>
      </c>
    </row>
    <row r="252" spans="1:8">
      <c r="A252">
        <v>1990</v>
      </c>
      <c r="B252" t="s">
        <v>310</v>
      </c>
      <c r="C252" t="s">
        <v>299</v>
      </c>
      <c r="D252" s="2">
        <v>0.16569999999999999</v>
      </c>
      <c r="E252" t="s">
        <v>16</v>
      </c>
      <c r="F252">
        <v>0.1643</v>
      </c>
      <c r="G252">
        <v>7.9699999999999993E-2</v>
      </c>
      <c r="H252" s="2">
        <f t="shared" si="3"/>
        <v>0.16500000000000001</v>
      </c>
    </row>
    <row r="253" spans="1:8">
      <c r="A253">
        <v>1990</v>
      </c>
      <c r="B253" t="s">
        <v>310</v>
      </c>
      <c r="C253" t="s">
        <v>301</v>
      </c>
      <c r="D253" s="2">
        <v>0.16900000000000001</v>
      </c>
      <c r="E253">
        <v>0.161</v>
      </c>
      <c r="F253">
        <v>0.161</v>
      </c>
      <c r="G253">
        <v>7.9699999999999993E-2</v>
      </c>
      <c r="H253" s="2">
        <f t="shared" si="3"/>
        <v>0.16366666666666699</v>
      </c>
    </row>
    <row r="254" spans="1:8">
      <c r="A254">
        <v>1990</v>
      </c>
      <c r="B254" t="s">
        <v>310</v>
      </c>
      <c r="C254" t="s">
        <v>103</v>
      </c>
      <c r="D254" s="2">
        <v>0.15</v>
      </c>
      <c r="E254">
        <v>0.14499999999999999</v>
      </c>
      <c r="F254">
        <v>0.15</v>
      </c>
      <c r="G254">
        <v>7.9699999999999993E-2</v>
      </c>
      <c r="H254" s="2">
        <f t="shared" si="3"/>
        <v>0.14833333333333301</v>
      </c>
    </row>
    <row r="255" spans="1:8">
      <c r="A255">
        <v>1990</v>
      </c>
      <c r="B255" t="s">
        <v>310</v>
      </c>
      <c r="C255" t="s">
        <v>299</v>
      </c>
      <c r="D255" s="2">
        <v>0.16300000000000001</v>
      </c>
      <c r="E255">
        <v>0.154</v>
      </c>
      <c r="F255" t="s">
        <v>16</v>
      </c>
      <c r="G255">
        <v>8.2299999999999998E-2</v>
      </c>
      <c r="H255" s="2">
        <f t="shared" si="3"/>
        <v>0.1585</v>
      </c>
    </row>
    <row r="256" spans="1:8">
      <c r="A256">
        <v>1990</v>
      </c>
      <c r="B256" t="s">
        <v>310</v>
      </c>
      <c r="C256" t="s">
        <v>299</v>
      </c>
      <c r="D256" s="2">
        <v>0.16300000000000001</v>
      </c>
      <c r="E256">
        <v>0.154</v>
      </c>
      <c r="F256">
        <v>0.16</v>
      </c>
      <c r="G256">
        <v>8.2299999999999998E-2</v>
      </c>
      <c r="H256" s="2">
        <f t="shared" si="3"/>
        <v>0.159</v>
      </c>
    </row>
    <row r="257" spans="1:8">
      <c r="A257">
        <v>1990</v>
      </c>
      <c r="B257" t="s">
        <v>310</v>
      </c>
      <c r="C257" t="s">
        <v>43</v>
      </c>
      <c r="D257" s="2">
        <v>0.1525</v>
      </c>
      <c r="E257">
        <v>0.14499999999999999</v>
      </c>
      <c r="F257">
        <v>0.14899999999999999</v>
      </c>
      <c r="G257">
        <v>8.2299999999999998E-2</v>
      </c>
      <c r="H257" s="2">
        <f t="shared" si="3"/>
        <v>0.14883333333333301</v>
      </c>
    </row>
    <row r="258" spans="1:8">
      <c r="A258">
        <v>1990</v>
      </c>
      <c r="B258" t="s">
        <v>310</v>
      </c>
      <c r="C258" t="s">
        <v>299</v>
      </c>
      <c r="D258" s="2">
        <v>0.14699999999999999</v>
      </c>
      <c r="E258">
        <v>0.13800000000000001</v>
      </c>
      <c r="F258">
        <v>0.13700000000000001</v>
      </c>
      <c r="G258">
        <v>7.5899999999999995E-2</v>
      </c>
      <c r="H258" s="2">
        <f t="shared" ref="H258:H321" si="4">AVERAGE(D258:F258)</f>
        <v>0.140666666666667</v>
      </c>
    </row>
    <row r="259" spans="1:8">
      <c r="A259">
        <v>1990</v>
      </c>
      <c r="B259" t="s">
        <v>310</v>
      </c>
      <c r="C259" t="s">
        <v>301</v>
      </c>
      <c r="D259" s="2">
        <v>0.16900000000000001</v>
      </c>
      <c r="E259">
        <v>0.16500000000000001</v>
      </c>
      <c r="F259">
        <v>0.16500000000000001</v>
      </c>
      <c r="G259">
        <v>7.7600000000000002E-2</v>
      </c>
      <c r="H259" s="2">
        <f t="shared" si="4"/>
        <v>0.166333333333333</v>
      </c>
    </row>
    <row r="260" spans="1:8">
      <c r="A260">
        <v>1990</v>
      </c>
      <c r="B260" t="s">
        <v>310</v>
      </c>
      <c r="C260" t="s">
        <v>301</v>
      </c>
      <c r="D260" s="2">
        <v>0.154</v>
      </c>
      <c r="E260">
        <v>0.14699999999999999</v>
      </c>
      <c r="F260">
        <v>0.14899999999999999</v>
      </c>
      <c r="G260">
        <v>7.7600000000000002E-2</v>
      </c>
      <c r="H260" s="2">
        <f t="shared" si="4"/>
        <v>0.15</v>
      </c>
    </row>
    <row r="261" spans="1:8">
      <c r="A261">
        <v>1990</v>
      </c>
      <c r="B261" t="s">
        <v>310</v>
      </c>
      <c r="C261" t="s">
        <v>55</v>
      </c>
      <c r="D261" s="2">
        <v>0.15440000000000001</v>
      </c>
      <c r="E261">
        <v>0.14990000000000001</v>
      </c>
      <c r="F261">
        <v>0.15090000000000001</v>
      </c>
      <c r="G261">
        <v>7.7600000000000002E-2</v>
      </c>
      <c r="H261" s="2">
        <f t="shared" si="4"/>
        <v>0.151733333333333</v>
      </c>
    </row>
    <row r="262" spans="1:8">
      <c r="A262">
        <v>1990</v>
      </c>
      <c r="B262" t="s">
        <v>310</v>
      </c>
      <c r="C262" t="s">
        <v>314</v>
      </c>
      <c r="D262" s="2">
        <v>0.1525</v>
      </c>
      <c r="E262">
        <v>0.15049999999999999</v>
      </c>
      <c r="F262">
        <v>0.14949999999999999</v>
      </c>
      <c r="G262">
        <v>7.7600000000000002E-2</v>
      </c>
      <c r="H262" s="2">
        <f t="shared" si="4"/>
        <v>0.15083333333333299</v>
      </c>
    </row>
    <row r="263" spans="1:8">
      <c r="A263">
        <v>1990</v>
      </c>
      <c r="B263" t="s">
        <v>310</v>
      </c>
      <c r="C263" t="s">
        <v>55</v>
      </c>
      <c r="D263" s="2">
        <v>0.16450000000000001</v>
      </c>
      <c r="E263">
        <v>0.157</v>
      </c>
      <c r="F263">
        <v>0.157</v>
      </c>
      <c r="G263">
        <v>0.08</v>
      </c>
      <c r="H263" s="2">
        <f t="shared" si="4"/>
        <v>0.1595</v>
      </c>
    </row>
    <row r="264" spans="1:8">
      <c r="A264">
        <v>1990</v>
      </c>
      <c r="B264" t="s">
        <v>310</v>
      </c>
      <c r="C264" t="s">
        <v>318</v>
      </c>
      <c r="D264" s="2">
        <v>0.16</v>
      </c>
      <c r="E264">
        <v>0.14749999999999999</v>
      </c>
      <c r="F264">
        <v>0.14749999999999999</v>
      </c>
      <c r="G264">
        <v>0.08</v>
      </c>
      <c r="H264" s="2">
        <f t="shared" si="4"/>
        <v>0.151666666666667</v>
      </c>
    </row>
    <row r="265" spans="1:8">
      <c r="A265">
        <v>1990</v>
      </c>
      <c r="B265" t="s">
        <v>310</v>
      </c>
      <c r="C265" t="s">
        <v>301</v>
      </c>
      <c r="D265" s="2">
        <v>0.17499999999999999</v>
      </c>
      <c r="E265">
        <v>0.16500000000000001</v>
      </c>
      <c r="F265">
        <v>0.16500000000000001</v>
      </c>
      <c r="G265">
        <v>0.08</v>
      </c>
      <c r="H265" s="2">
        <f t="shared" si="4"/>
        <v>0.168333333333333</v>
      </c>
    </row>
    <row r="266" spans="1:8">
      <c r="A266">
        <v>1990</v>
      </c>
      <c r="B266" t="s">
        <v>310</v>
      </c>
      <c r="C266" t="s">
        <v>301</v>
      </c>
      <c r="D266" s="2">
        <v>0.154</v>
      </c>
      <c r="E266">
        <v>0.14849999999999999</v>
      </c>
      <c r="F266">
        <v>0.14949999999999999</v>
      </c>
      <c r="G266">
        <v>0.08</v>
      </c>
      <c r="H266" s="2">
        <f t="shared" si="4"/>
        <v>0.150666666666667</v>
      </c>
    </row>
    <row r="267" spans="1:8">
      <c r="A267">
        <v>1990</v>
      </c>
      <c r="B267" t="s">
        <v>310</v>
      </c>
      <c r="C267" t="s">
        <v>322</v>
      </c>
      <c r="D267" s="2">
        <v>0.17</v>
      </c>
      <c r="E267">
        <v>0.1195</v>
      </c>
      <c r="F267">
        <v>0.1187</v>
      </c>
      <c r="G267">
        <v>0.08</v>
      </c>
      <c r="H267" s="2">
        <f t="shared" si="4"/>
        <v>0.136066666666667</v>
      </c>
    </row>
    <row r="268" spans="1:8">
      <c r="A268">
        <v>1990</v>
      </c>
      <c r="B268" t="s">
        <v>310</v>
      </c>
      <c r="C268" t="s">
        <v>314</v>
      </c>
      <c r="D268" s="2">
        <v>0.15490000000000001</v>
      </c>
      <c r="E268">
        <v>0.15240000000000001</v>
      </c>
      <c r="F268">
        <v>0.151</v>
      </c>
      <c r="G268">
        <v>0.08</v>
      </c>
      <c r="H268" s="2">
        <f t="shared" si="4"/>
        <v>0.15276666666666699</v>
      </c>
    </row>
    <row r="269" spans="1:8">
      <c r="A269">
        <v>1990</v>
      </c>
      <c r="B269" t="s">
        <v>310</v>
      </c>
      <c r="C269" t="s">
        <v>314</v>
      </c>
      <c r="D269" s="2">
        <v>0.1575</v>
      </c>
      <c r="E269">
        <v>0.15490000000000001</v>
      </c>
      <c r="F269">
        <v>0.15440000000000001</v>
      </c>
      <c r="G269">
        <v>0.08</v>
      </c>
      <c r="H269" s="2">
        <f t="shared" si="4"/>
        <v>0.15559999999999999</v>
      </c>
    </row>
    <row r="270" spans="1:8">
      <c r="A270">
        <v>1990</v>
      </c>
      <c r="B270" t="s">
        <v>310</v>
      </c>
      <c r="C270" t="s">
        <v>318</v>
      </c>
      <c r="D270" s="2">
        <v>0.17249999999999999</v>
      </c>
      <c r="E270">
        <v>0.16900000000000001</v>
      </c>
      <c r="F270">
        <v>0.16900000000000001</v>
      </c>
      <c r="G270">
        <v>0.08</v>
      </c>
      <c r="H270" s="2">
        <f t="shared" si="4"/>
        <v>0.17016666666666699</v>
      </c>
    </row>
    <row r="271" spans="1:8">
      <c r="A271">
        <v>1990</v>
      </c>
      <c r="B271" t="s">
        <v>310</v>
      </c>
      <c r="C271" t="s">
        <v>322</v>
      </c>
      <c r="D271" s="2">
        <v>0.18</v>
      </c>
      <c r="E271">
        <v>0.14000000000000001</v>
      </c>
      <c r="F271">
        <v>0.13650000000000001</v>
      </c>
      <c r="G271">
        <v>0.08</v>
      </c>
      <c r="H271" s="2">
        <f t="shared" si="4"/>
        <v>0.15216666666666701</v>
      </c>
    </row>
    <row r="272" spans="1:8">
      <c r="A272">
        <v>1990</v>
      </c>
      <c r="B272" t="s">
        <v>310</v>
      </c>
      <c r="C272" t="s">
        <v>299</v>
      </c>
      <c r="D272" s="2">
        <v>0.156</v>
      </c>
      <c r="E272">
        <v>0.152</v>
      </c>
      <c r="F272">
        <v>0.152</v>
      </c>
      <c r="G272">
        <v>0.08</v>
      </c>
      <c r="H272" s="2">
        <f t="shared" si="4"/>
        <v>0.15333333333333299</v>
      </c>
    </row>
    <row r="273" spans="1:8">
      <c r="A273">
        <v>1990</v>
      </c>
      <c r="B273" t="s">
        <v>310</v>
      </c>
      <c r="C273" t="s">
        <v>299</v>
      </c>
      <c r="D273" s="2">
        <v>0.16400000000000001</v>
      </c>
      <c r="E273">
        <v>0.16</v>
      </c>
      <c r="F273">
        <v>0.16</v>
      </c>
      <c r="G273">
        <v>8.2699999999999996E-2</v>
      </c>
      <c r="H273" s="2">
        <f t="shared" si="4"/>
        <v>0.161333333333333</v>
      </c>
    </row>
    <row r="274" spans="1:8">
      <c r="A274">
        <v>1991</v>
      </c>
      <c r="B274" t="s">
        <v>310</v>
      </c>
      <c r="C274" t="s">
        <v>43</v>
      </c>
      <c r="D274" s="2">
        <v>0.14699999999999999</v>
      </c>
      <c r="E274">
        <v>0.13400000000000001</v>
      </c>
      <c r="F274">
        <v>0.13500000000000001</v>
      </c>
      <c r="G274">
        <v>6.6000000000000003E-2</v>
      </c>
      <c r="H274" s="2">
        <f t="shared" si="4"/>
        <v>0.13866666666666699</v>
      </c>
    </row>
    <row r="275" spans="1:8">
      <c r="A275">
        <v>1991</v>
      </c>
      <c r="B275" t="s">
        <v>310</v>
      </c>
      <c r="C275" t="s">
        <v>299</v>
      </c>
      <c r="D275" s="2">
        <v>0.14199999999999999</v>
      </c>
      <c r="E275">
        <v>0.13300000000000001</v>
      </c>
      <c r="F275">
        <v>0.14099999999999999</v>
      </c>
      <c r="G275">
        <v>6.6000000000000003E-2</v>
      </c>
      <c r="H275" s="2">
        <f t="shared" si="4"/>
        <v>0.13866666666666699</v>
      </c>
    </row>
    <row r="276" spans="1:8">
      <c r="A276">
        <v>1991</v>
      </c>
      <c r="B276" t="s">
        <v>310</v>
      </c>
      <c r="C276" t="s">
        <v>299</v>
      </c>
      <c r="D276" s="2">
        <v>0.154</v>
      </c>
      <c r="E276">
        <v>0.14399999999999999</v>
      </c>
      <c r="F276">
        <v>0.154</v>
      </c>
      <c r="G276">
        <v>6.6000000000000003E-2</v>
      </c>
      <c r="H276" s="2">
        <f t="shared" si="4"/>
        <v>0.150666666666667</v>
      </c>
    </row>
    <row r="277" spans="1:8">
      <c r="A277">
        <v>1991</v>
      </c>
      <c r="B277" t="s">
        <v>310</v>
      </c>
      <c r="C277" t="s">
        <v>314</v>
      </c>
      <c r="D277" s="2">
        <v>0.14649999999999999</v>
      </c>
      <c r="E277">
        <v>0.14349999999999999</v>
      </c>
      <c r="F277">
        <v>0.14349999999999999</v>
      </c>
      <c r="G277">
        <v>6.6299999999999998E-2</v>
      </c>
      <c r="H277" s="2">
        <f t="shared" si="4"/>
        <v>0.14449999999999999</v>
      </c>
    </row>
    <row r="278" spans="1:8">
      <c r="A278">
        <v>1991</v>
      </c>
      <c r="B278" t="s">
        <v>310</v>
      </c>
      <c r="C278" t="s">
        <v>55</v>
      </c>
      <c r="D278" s="2">
        <v>0.13639999999999999</v>
      </c>
      <c r="E278">
        <v>0.12740000000000001</v>
      </c>
      <c r="F278">
        <v>0.12740000000000001</v>
      </c>
      <c r="G278">
        <v>6.8199999999999997E-2</v>
      </c>
      <c r="H278" s="2">
        <f t="shared" si="4"/>
        <v>0.13039999999999999</v>
      </c>
    </row>
    <row r="279" spans="1:8">
      <c r="A279">
        <v>1983</v>
      </c>
      <c r="B279" t="s">
        <v>298</v>
      </c>
      <c r="C279" t="s">
        <v>299</v>
      </c>
      <c r="D279" s="2">
        <v>0.126</v>
      </c>
      <c r="E279">
        <v>0.126</v>
      </c>
      <c r="F279" t="s">
        <v>16</v>
      </c>
      <c r="G279">
        <v>7.6399999999999996E-2</v>
      </c>
      <c r="H279" s="2">
        <f t="shared" si="4"/>
        <v>0.126</v>
      </c>
    </row>
    <row r="280" spans="1:8">
      <c r="A280">
        <v>1983</v>
      </c>
      <c r="B280" t="s">
        <v>298</v>
      </c>
      <c r="C280" t="s">
        <v>301</v>
      </c>
      <c r="D280" s="2">
        <v>0.14949999999999999</v>
      </c>
      <c r="E280">
        <v>0.13950000000000001</v>
      </c>
      <c r="F280" t="s">
        <v>16</v>
      </c>
      <c r="G280">
        <v>7.6399999999999996E-2</v>
      </c>
      <c r="H280" s="2">
        <f t="shared" si="4"/>
        <v>0.14449999999999999</v>
      </c>
    </row>
    <row r="281" spans="1:8">
      <c r="A281">
        <v>1983</v>
      </c>
      <c r="B281" t="s">
        <v>298</v>
      </c>
      <c r="C281" t="s">
        <v>301</v>
      </c>
      <c r="D281" s="2">
        <v>0.1193</v>
      </c>
      <c r="E281">
        <v>0.1113</v>
      </c>
      <c r="F281" t="s">
        <v>16</v>
      </c>
      <c r="G281">
        <v>7.6399999999999996E-2</v>
      </c>
      <c r="H281" s="2">
        <f t="shared" si="4"/>
        <v>0.1153</v>
      </c>
    </row>
    <row r="282" spans="1:8">
      <c r="A282">
        <v>1983</v>
      </c>
      <c r="B282" t="s">
        <v>298</v>
      </c>
      <c r="C282" t="s">
        <v>299</v>
      </c>
      <c r="D282" s="2">
        <v>0.1094</v>
      </c>
      <c r="E282">
        <v>0.1094</v>
      </c>
      <c r="F282">
        <v>0.1094</v>
      </c>
      <c r="G282">
        <v>7.6399999999999996E-2</v>
      </c>
      <c r="H282" s="2">
        <f t="shared" si="4"/>
        <v>0.1094</v>
      </c>
    </row>
    <row r="283" spans="1:8">
      <c r="A283">
        <v>1983</v>
      </c>
      <c r="B283" t="s">
        <v>298</v>
      </c>
      <c r="C283" t="s">
        <v>301</v>
      </c>
      <c r="D283" s="2">
        <v>0.10639999999999999</v>
      </c>
      <c r="E283">
        <v>0.10639999999999999</v>
      </c>
      <c r="F283" t="s">
        <v>16</v>
      </c>
      <c r="G283">
        <v>7.6300000000000007E-2</v>
      </c>
      <c r="H283" s="2">
        <f t="shared" si="4"/>
        <v>0.10639999999999999</v>
      </c>
    </row>
    <row r="284" spans="1:8">
      <c r="A284">
        <v>1983</v>
      </c>
      <c r="B284" t="s">
        <v>298</v>
      </c>
      <c r="C284" t="s">
        <v>299</v>
      </c>
      <c r="D284" s="2">
        <v>0.1074</v>
      </c>
      <c r="E284">
        <v>0.1074</v>
      </c>
      <c r="F284">
        <v>0.1074</v>
      </c>
      <c r="G284">
        <v>7.6300000000000007E-2</v>
      </c>
      <c r="H284" s="2">
        <f t="shared" si="4"/>
        <v>0.1074</v>
      </c>
    </row>
    <row r="285" spans="1:8">
      <c r="A285">
        <v>1983</v>
      </c>
      <c r="B285" t="s">
        <v>298</v>
      </c>
      <c r="C285" t="s">
        <v>299</v>
      </c>
      <c r="D285" s="2" t="s">
        <v>16</v>
      </c>
      <c r="E285">
        <v>9.8699999999999996E-2</v>
      </c>
      <c r="F285" t="s">
        <v>16</v>
      </c>
      <c r="G285">
        <v>7.6300000000000007E-2</v>
      </c>
      <c r="H285" s="2">
        <f t="shared" si="4"/>
        <v>9.8699999999999996E-2</v>
      </c>
    </row>
    <row r="286" spans="1:8">
      <c r="A286">
        <v>1983</v>
      </c>
      <c r="B286" t="s">
        <v>298</v>
      </c>
      <c r="C286" t="s">
        <v>301</v>
      </c>
      <c r="D286" s="2">
        <v>0.111</v>
      </c>
      <c r="E286">
        <v>0.10100000000000001</v>
      </c>
      <c r="F286">
        <v>0.10100000000000001</v>
      </c>
      <c r="G286">
        <v>7.6300000000000007E-2</v>
      </c>
      <c r="H286" s="2">
        <f t="shared" si="4"/>
        <v>0.104333333333333</v>
      </c>
    </row>
    <row r="287" spans="1:8">
      <c r="A287">
        <v>1983</v>
      </c>
      <c r="B287" t="s">
        <v>298</v>
      </c>
      <c r="C287" t="s">
        <v>299</v>
      </c>
      <c r="D287" s="2" t="s">
        <v>16</v>
      </c>
      <c r="E287">
        <v>0.1026</v>
      </c>
      <c r="F287">
        <v>0.1026</v>
      </c>
      <c r="G287">
        <v>7.6300000000000007E-2</v>
      </c>
      <c r="H287" s="2">
        <f t="shared" si="4"/>
        <v>0.1026</v>
      </c>
    </row>
    <row r="288" spans="1:8">
      <c r="A288">
        <v>1983</v>
      </c>
      <c r="B288" t="s">
        <v>298</v>
      </c>
      <c r="C288" t="s">
        <v>299</v>
      </c>
      <c r="D288" s="2">
        <v>0.1095</v>
      </c>
      <c r="E288">
        <v>0.1095</v>
      </c>
      <c r="F288">
        <v>0.1095</v>
      </c>
      <c r="G288">
        <v>7.6300000000000007E-2</v>
      </c>
      <c r="H288" s="2">
        <f t="shared" si="4"/>
        <v>0.1095</v>
      </c>
    </row>
    <row r="289" spans="1:8">
      <c r="A289">
        <v>1983</v>
      </c>
      <c r="B289" t="s">
        <v>298</v>
      </c>
      <c r="C289" t="s">
        <v>301</v>
      </c>
      <c r="D289" s="2">
        <v>0.1293</v>
      </c>
      <c r="E289">
        <v>0.1215</v>
      </c>
      <c r="F289" t="s">
        <v>16</v>
      </c>
      <c r="G289">
        <v>7.6300000000000007E-2</v>
      </c>
      <c r="H289" s="2">
        <f t="shared" si="4"/>
        <v>0.12540000000000001</v>
      </c>
    </row>
    <row r="290" spans="1:8">
      <c r="A290">
        <v>1984</v>
      </c>
      <c r="B290" t="s">
        <v>298</v>
      </c>
      <c r="C290" t="s">
        <v>301</v>
      </c>
      <c r="D290" s="2">
        <v>0.13250000000000001</v>
      </c>
      <c r="E290">
        <v>0.1225</v>
      </c>
      <c r="F290" t="s">
        <v>16</v>
      </c>
      <c r="G290">
        <v>7.3999999999999996E-2</v>
      </c>
      <c r="H290" s="2">
        <f t="shared" si="4"/>
        <v>0.1275</v>
      </c>
    </row>
    <row r="291" spans="1:8">
      <c r="A291">
        <v>1984</v>
      </c>
      <c r="B291" t="s">
        <v>298</v>
      </c>
      <c r="C291" t="s">
        <v>301</v>
      </c>
      <c r="D291" s="2">
        <v>0.14249999999999999</v>
      </c>
      <c r="E291">
        <v>0.13250000000000001</v>
      </c>
      <c r="F291" t="s">
        <v>16</v>
      </c>
      <c r="G291">
        <v>7.4099999999999999E-2</v>
      </c>
      <c r="H291" s="2">
        <f t="shared" si="4"/>
        <v>0.13750000000000001</v>
      </c>
    </row>
    <row r="292" spans="1:8">
      <c r="A292" t="s">
        <v>349</v>
      </c>
      <c r="B292" t="s">
        <v>298</v>
      </c>
      <c r="C292" t="s">
        <v>299</v>
      </c>
      <c r="D292" s="2">
        <v>0.13900000000000001</v>
      </c>
      <c r="E292">
        <v>0.13900000000000001</v>
      </c>
      <c r="F292">
        <v>0.13900000000000001</v>
      </c>
      <c r="G292">
        <v>7.4099999999999999E-2</v>
      </c>
      <c r="H292" s="2">
        <f t="shared" si="4"/>
        <v>0.13900000000000001</v>
      </c>
    </row>
    <row r="293" spans="1:8">
      <c r="A293">
        <v>1984</v>
      </c>
      <c r="B293" t="s">
        <v>298</v>
      </c>
      <c r="C293" t="s">
        <v>301</v>
      </c>
      <c r="D293" s="2">
        <v>0.13950000000000001</v>
      </c>
      <c r="E293">
        <v>0.13950000000000001</v>
      </c>
      <c r="F293">
        <v>0.125</v>
      </c>
      <c r="G293">
        <v>7.4099999999999999E-2</v>
      </c>
      <c r="H293" s="2">
        <f t="shared" si="4"/>
        <v>0.13466666666666699</v>
      </c>
    </row>
    <row r="294" spans="1:8">
      <c r="A294">
        <v>1984</v>
      </c>
      <c r="B294" t="s">
        <v>298</v>
      </c>
      <c r="C294" t="s">
        <v>301</v>
      </c>
      <c r="D294" s="2" t="s">
        <v>16</v>
      </c>
      <c r="E294">
        <v>0.12889999999999999</v>
      </c>
      <c r="F294">
        <v>0.12889999999999999</v>
      </c>
      <c r="G294">
        <v>7.4099999999999999E-2</v>
      </c>
      <c r="H294" s="2">
        <f t="shared" si="4"/>
        <v>0.12889999999999999</v>
      </c>
    </row>
    <row r="295" spans="1:8">
      <c r="A295">
        <v>1984</v>
      </c>
      <c r="B295" t="s">
        <v>298</v>
      </c>
      <c r="C295" t="s">
        <v>301</v>
      </c>
      <c r="D295" s="2">
        <v>0.13900000000000001</v>
      </c>
      <c r="E295">
        <v>0.13900000000000001</v>
      </c>
      <c r="F295" t="s">
        <v>16</v>
      </c>
      <c r="G295">
        <v>7.4099999999999999E-2</v>
      </c>
      <c r="H295" s="2">
        <f t="shared" si="4"/>
        <v>0.13900000000000001</v>
      </c>
    </row>
    <row r="296" spans="1:8">
      <c r="A296">
        <v>1984</v>
      </c>
      <c r="B296" t="s">
        <v>298</v>
      </c>
      <c r="C296" t="s">
        <v>299</v>
      </c>
      <c r="D296" s="2">
        <v>0.13100000000000001</v>
      </c>
      <c r="E296">
        <v>0.13100000000000001</v>
      </c>
      <c r="F296">
        <v>0.13100000000000001</v>
      </c>
      <c r="G296">
        <v>7.4099999999999999E-2</v>
      </c>
      <c r="H296" s="2">
        <f t="shared" si="4"/>
        <v>0.13100000000000001</v>
      </c>
    </row>
    <row r="297" spans="1:8">
      <c r="A297">
        <v>1984</v>
      </c>
      <c r="B297" t="s">
        <v>298</v>
      </c>
      <c r="C297" t="s">
        <v>299</v>
      </c>
      <c r="D297" s="2" t="s">
        <v>16</v>
      </c>
      <c r="E297">
        <v>0.13200000000000001</v>
      </c>
      <c r="F297" t="s">
        <v>16</v>
      </c>
      <c r="G297">
        <v>7.4099999999999999E-2</v>
      </c>
      <c r="H297" s="2">
        <f t="shared" si="4"/>
        <v>0.13200000000000001</v>
      </c>
    </row>
    <row r="298" spans="1:8">
      <c r="A298">
        <v>1984</v>
      </c>
      <c r="B298" t="s">
        <v>298</v>
      </c>
      <c r="C298" t="s">
        <v>301</v>
      </c>
      <c r="D298" s="2">
        <v>0.13800000000000001</v>
      </c>
      <c r="E298">
        <v>0.128</v>
      </c>
      <c r="F298">
        <v>0.13800000000000001</v>
      </c>
      <c r="G298">
        <v>7.4099999999999999E-2</v>
      </c>
      <c r="H298" s="2">
        <f t="shared" si="4"/>
        <v>0.13466666666666699</v>
      </c>
    </row>
    <row r="299" spans="1:8">
      <c r="A299">
        <v>1984</v>
      </c>
      <c r="B299" t="s">
        <v>298</v>
      </c>
      <c r="C299" t="s">
        <v>299</v>
      </c>
      <c r="D299" s="2">
        <v>0.1462</v>
      </c>
      <c r="E299">
        <v>0.1462</v>
      </c>
      <c r="F299">
        <v>0.1462</v>
      </c>
      <c r="G299">
        <v>7.4099999999999999E-2</v>
      </c>
      <c r="H299" s="2">
        <f t="shared" si="4"/>
        <v>0.1462</v>
      </c>
    </row>
    <row r="300" spans="1:8">
      <c r="A300">
        <v>1984</v>
      </c>
      <c r="B300" t="s">
        <v>298</v>
      </c>
      <c r="C300" t="s">
        <v>299</v>
      </c>
      <c r="D300" s="2" t="s">
        <v>16</v>
      </c>
      <c r="E300">
        <v>0.13550000000000001</v>
      </c>
      <c r="F300" t="s">
        <v>16</v>
      </c>
      <c r="G300">
        <v>7.4099999999999999E-2</v>
      </c>
      <c r="H300" s="2">
        <f t="shared" si="4"/>
        <v>0.13550000000000001</v>
      </c>
    </row>
    <row r="301" spans="1:8">
      <c r="A301">
        <v>1984</v>
      </c>
      <c r="B301" t="s">
        <v>298</v>
      </c>
      <c r="C301" t="s">
        <v>301</v>
      </c>
      <c r="D301" s="2">
        <v>0.14199999999999999</v>
      </c>
      <c r="E301">
        <v>0.13200000000000001</v>
      </c>
      <c r="F301" t="s">
        <v>16</v>
      </c>
      <c r="G301">
        <v>7.4099999999999999E-2</v>
      </c>
      <c r="H301" s="2">
        <f t="shared" si="4"/>
        <v>0.13700000000000001</v>
      </c>
    </row>
    <row r="302" spans="1:8">
      <c r="A302">
        <v>1985</v>
      </c>
      <c r="B302" t="s">
        <v>298</v>
      </c>
      <c r="C302" t="s">
        <v>301</v>
      </c>
      <c r="D302" s="2">
        <v>0.13100000000000001</v>
      </c>
      <c r="E302">
        <v>0.129</v>
      </c>
      <c r="F302" t="s">
        <v>16</v>
      </c>
      <c r="G302">
        <v>7.1599999999999997E-2</v>
      </c>
      <c r="H302" s="2">
        <f t="shared" si="4"/>
        <v>0.13</v>
      </c>
    </row>
    <row r="303" spans="1:8">
      <c r="A303">
        <v>1985</v>
      </c>
      <c r="B303" t="s">
        <v>298</v>
      </c>
      <c r="C303" t="s">
        <v>301</v>
      </c>
      <c r="D303" s="2">
        <v>0.14499999999999999</v>
      </c>
      <c r="E303">
        <v>0.13500000000000001</v>
      </c>
      <c r="F303" t="s">
        <v>16</v>
      </c>
      <c r="G303">
        <v>7.0699999999999999E-2</v>
      </c>
      <c r="H303" s="2">
        <f t="shared" si="4"/>
        <v>0.14000000000000001</v>
      </c>
    </row>
    <row r="304" spans="1:8">
      <c r="A304">
        <v>1985</v>
      </c>
      <c r="B304" t="s">
        <v>298</v>
      </c>
      <c r="C304" t="s">
        <v>299</v>
      </c>
      <c r="D304" s="2">
        <v>0.14099999999999999</v>
      </c>
      <c r="E304">
        <v>0.14099999999999999</v>
      </c>
      <c r="F304">
        <v>0.14099999999999999</v>
      </c>
      <c r="G304">
        <v>7.0699999999999999E-2</v>
      </c>
      <c r="H304" s="2">
        <f t="shared" si="4"/>
        <v>0.14099999999999999</v>
      </c>
    </row>
    <row r="305" spans="1:8">
      <c r="A305">
        <v>1985</v>
      </c>
      <c r="B305" t="s">
        <v>298</v>
      </c>
      <c r="C305" t="s">
        <v>301</v>
      </c>
      <c r="D305" s="2">
        <v>0.13930000000000001</v>
      </c>
      <c r="E305">
        <v>0.13930000000000001</v>
      </c>
      <c r="F305" t="s">
        <v>16</v>
      </c>
      <c r="G305">
        <v>7.0699999999999999E-2</v>
      </c>
      <c r="H305" s="2">
        <f t="shared" si="4"/>
        <v>0.13930000000000001</v>
      </c>
    </row>
    <row r="306" spans="1:8">
      <c r="A306">
        <v>1985</v>
      </c>
      <c r="B306" t="s">
        <v>298</v>
      </c>
      <c r="C306" t="s">
        <v>299</v>
      </c>
      <c r="D306" s="2">
        <v>0.14449999999999999</v>
      </c>
      <c r="E306">
        <v>0.13450000000000001</v>
      </c>
      <c r="F306">
        <v>0.13950000000000001</v>
      </c>
      <c r="G306">
        <v>7.0699999999999999E-2</v>
      </c>
      <c r="H306" s="2">
        <f t="shared" si="4"/>
        <v>0.13950000000000001</v>
      </c>
    </row>
    <row r="307" spans="1:8">
      <c r="A307">
        <v>1985</v>
      </c>
      <c r="B307" t="s">
        <v>298</v>
      </c>
      <c r="C307" t="s">
        <v>301</v>
      </c>
      <c r="D307" s="2" t="s">
        <v>16</v>
      </c>
      <c r="E307">
        <v>0.12989999999999999</v>
      </c>
      <c r="F307">
        <v>0.12989999999999999</v>
      </c>
      <c r="G307">
        <v>7.0699999999999999E-2</v>
      </c>
      <c r="H307" s="2">
        <f t="shared" si="4"/>
        <v>0.12989999999999999</v>
      </c>
    </row>
    <row r="308" spans="1:8">
      <c r="A308">
        <v>1985</v>
      </c>
      <c r="B308" t="s">
        <v>298</v>
      </c>
      <c r="C308" t="s">
        <v>301</v>
      </c>
      <c r="D308" s="2">
        <v>0.14349999999999999</v>
      </c>
      <c r="E308">
        <v>0.13350000000000001</v>
      </c>
      <c r="F308" t="s">
        <v>16</v>
      </c>
      <c r="G308">
        <v>7.0699999999999999E-2</v>
      </c>
      <c r="H308" s="2">
        <f t="shared" si="4"/>
        <v>0.13850000000000001</v>
      </c>
    </row>
    <row r="309" spans="1:8">
      <c r="A309">
        <v>1985</v>
      </c>
      <c r="B309" t="s">
        <v>298</v>
      </c>
      <c r="C309" t="s">
        <v>301</v>
      </c>
      <c r="D309" s="2">
        <v>0.14399999999999999</v>
      </c>
      <c r="E309">
        <v>0.14399999999999999</v>
      </c>
      <c r="F309" t="s">
        <v>16</v>
      </c>
      <c r="G309">
        <v>6.93E-2</v>
      </c>
      <c r="H309" s="2">
        <f t="shared" si="4"/>
        <v>0.14399999999999999</v>
      </c>
    </row>
    <row r="310" spans="1:8">
      <c r="A310">
        <v>1985</v>
      </c>
      <c r="B310" t="s">
        <v>298</v>
      </c>
      <c r="C310" t="s">
        <v>299</v>
      </c>
      <c r="D310" s="2">
        <v>0.13400000000000001</v>
      </c>
      <c r="E310">
        <v>0.13400000000000001</v>
      </c>
      <c r="F310">
        <v>0.13400000000000001</v>
      </c>
      <c r="G310">
        <v>6.93E-2</v>
      </c>
      <c r="H310" s="2">
        <f t="shared" si="4"/>
        <v>0.13400000000000001</v>
      </c>
    </row>
    <row r="311" spans="1:8">
      <c r="A311">
        <v>1985</v>
      </c>
      <c r="B311" t="s">
        <v>298</v>
      </c>
      <c r="C311" t="s">
        <v>299</v>
      </c>
      <c r="D311" s="2" t="s">
        <v>16</v>
      </c>
      <c r="E311">
        <v>0.13450000000000001</v>
      </c>
      <c r="F311" t="s">
        <v>16</v>
      </c>
      <c r="G311">
        <v>6.93E-2</v>
      </c>
      <c r="H311" s="2">
        <f t="shared" si="4"/>
        <v>0.13450000000000001</v>
      </c>
    </row>
    <row r="312" spans="1:8">
      <c r="A312">
        <v>1985</v>
      </c>
      <c r="B312" t="s">
        <v>298</v>
      </c>
      <c r="C312" t="s">
        <v>301</v>
      </c>
      <c r="D312" s="2">
        <v>0.1449</v>
      </c>
      <c r="E312">
        <v>0.13489999999999999</v>
      </c>
      <c r="F312">
        <v>0.1399</v>
      </c>
      <c r="G312">
        <v>6.93E-2</v>
      </c>
      <c r="H312" s="2">
        <f t="shared" si="4"/>
        <v>0.1399</v>
      </c>
    </row>
    <row r="313" spans="1:8">
      <c r="A313">
        <v>1985</v>
      </c>
      <c r="B313" t="s">
        <v>298</v>
      </c>
      <c r="C313" t="s">
        <v>299</v>
      </c>
      <c r="D313" s="2">
        <v>0.14799999999999999</v>
      </c>
      <c r="E313">
        <v>0.14799999999999999</v>
      </c>
      <c r="F313">
        <v>0.14799999999999999</v>
      </c>
      <c r="G313">
        <v>6.93E-2</v>
      </c>
      <c r="H313" s="2">
        <f t="shared" si="4"/>
        <v>0.14799999999999999</v>
      </c>
    </row>
    <row r="314" spans="1:8">
      <c r="A314">
        <v>1985</v>
      </c>
      <c r="B314" t="s">
        <v>298</v>
      </c>
      <c r="C314" t="s">
        <v>299</v>
      </c>
      <c r="D314" s="2" t="s">
        <v>16</v>
      </c>
      <c r="E314">
        <v>0.13800000000000001</v>
      </c>
      <c r="F314" t="s">
        <v>16</v>
      </c>
      <c r="G314">
        <v>6.93E-2</v>
      </c>
      <c r="H314" s="2">
        <f t="shared" si="4"/>
        <v>0.13800000000000001</v>
      </c>
    </row>
    <row r="315" spans="1:8">
      <c r="A315">
        <v>1986</v>
      </c>
      <c r="B315" t="s">
        <v>298</v>
      </c>
      <c r="C315" t="s">
        <v>301</v>
      </c>
      <c r="D315" s="2">
        <v>0.13600000000000001</v>
      </c>
      <c r="E315">
        <v>0.13200000000000001</v>
      </c>
      <c r="F315" t="s">
        <v>16</v>
      </c>
      <c r="G315">
        <v>7.0000000000000007E-2</v>
      </c>
      <c r="H315" s="2">
        <f t="shared" si="4"/>
        <v>0.13400000000000001</v>
      </c>
    </row>
    <row r="316" spans="1:8">
      <c r="A316">
        <v>1986</v>
      </c>
      <c r="B316" t="s">
        <v>298</v>
      </c>
      <c r="C316" t="s">
        <v>301</v>
      </c>
      <c r="D316" s="2">
        <v>0.14199999999999999</v>
      </c>
      <c r="E316">
        <v>0.14199999999999999</v>
      </c>
      <c r="F316" t="s">
        <v>16</v>
      </c>
      <c r="G316">
        <v>7.0000000000000007E-2</v>
      </c>
      <c r="H316" s="2">
        <f t="shared" si="4"/>
        <v>0.14199999999999999</v>
      </c>
    </row>
    <row r="317" spans="1:8">
      <c r="A317">
        <v>1986</v>
      </c>
      <c r="B317" t="s">
        <v>298</v>
      </c>
      <c r="C317" t="s">
        <v>299</v>
      </c>
      <c r="D317" s="2">
        <v>0.13900000000000001</v>
      </c>
      <c r="E317">
        <v>0.13900000000000001</v>
      </c>
      <c r="F317">
        <v>0.13900000000000001</v>
      </c>
      <c r="G317">
        <v>7.0000000000000007E-2</v>
      </c>
      <c r="H317" s="2">
        <f t="shared" si="4"/>
        <v>0.13900000000000001</v>
      </c>
    </row>
    <row r="318" spans="1:8">
      <c r="A318">
        <v>1986</v>
      </c>
      <c r="B318" t="s">
        <v>298</v>
      </c>
      <c r="C318" t="s">
        <v>301</v>
      </c>
      <c r="D318" s="2">
        <v>0.1474</v>
      </c>
      <c r="E318">
        <v>0.13739999999999999</v>
      </c>
      <c r="F318">
        <v>0.1424</v>
      </c>
      <c r="G318">
        <v>7.0000000000000007E-2</v>
      </c>
      <c r="H318" s="2">
        <f t="shared" si="4"/>
        <v>0.1424</v>
      </c>
    </row>
    <row r="319" spans="1:8">
      <c r="A319">
        <v>1986</v>
      </c>
      <c r="B319" t="s">
        <v>298</v>
      </c>
      <c r="C319" t="s">
        <v>301</v>
      </c>
      <c r="D319" s="2" t="s">
        <v>16</v>
      </c>
      <c r="E319">
        <v>0.13489999999999999</v>
      </c>
      <c r="F319">
        <v>0.13489999999999999</v>
      </c>
      <c r="G319">
        <v>7.0000000000000007E-2</v>
      </c>
      <c r="H319" s="2">
        <f t="shared" si="4"/>
        <v>0.13489999999999999</v>
      </c>
    </row>
    <row r="320" spans="1:8">
      <c r="A320">
        <v>1986</v>
      </c>
      <c r="B320" t="s">
        <v>298</v>
      </c>
      <c r="C320" t="s">
        <v>299</v>
      </c>
      <c r="D320" s="2" t="s">
        <v>16</v>
      </c>
      <c r="E320">
        <v>0.14299999999999999</v>
      </c>
      <c r="F320" t="s">
        <v>16</v>
      </c>
      <c r="G320">
        <v>7.0000000000000007E-2</v>
      </c>
      <c r="H320" s="2">
        <f t="shared" si="4"/>
        <v>0.14299999999999999</v>
      </c>
    </row>
    <row r="321" spans="1:8">
      <c r="A321">
        <v>1986</v>
      </c>
      <c r="B321" t="s">
        <v>298</v>
      </c>
      <c r="C321" t="s">
        <v>301</v>
      </c>
      <c r="D321" s="2">
        <v>0.14749999999999999</v>
      </c>
      <c r="E321">
        <v>0.14749999999999999</v>
      </c>
      <c r="F321" t="s">
        <v>16</v>
      </c>
      <c r="G321">
        <v>7.0099999999999996E-2</v>
      </c>
      <c r="H321" s="2">
        <f t="shared" si="4"/>
        <v>0.14749999999999999</v>
      </c>
    </row>
    <row r="322" spans="1:8">
      <c r="A322">
        <v>1986</v>
      </c>
      <c r="B322" t="s">
        <v>298</v>
      </c>
      <c r="C322" t="s">
        <v>301</v>
      </c>
      <c r="D322" s="2">
        <v>0.1469</v>
      </c>
      <c r="E322">
        <v>0.13689999999999999</v>
      </c>
      <c r="F322" t="s">
        <v>16</v>
      </c>
      <c r="G322">
        <v>7.0099999999999996E-2</v>
      </c>
      <c r="H322" s="2">
        <f t="shared" ref="H322:H385" si="5">AVERAGE(D322:F322)</f>
        <v>0.1419</v>
      </c>
    </row>
    <row r="323" spans="1:8">
      <c r="A323">
        <v>1986</v>
      </c>
      <c r="B323" t="s">
        <v>298</v>
      </c>
      <c r="C323" t="s">
        <v>299</v>
      </c>
      <c r="D323" s="2">
        <v>0.14399999999999999</v>
      </c>
      <c r="E323">
        <v>0.13400000000000001</v>
      </c>
      <c r="F323">
        <v>0.13950000000000001</v>
      </c>
      <c r="G323">
        <v>7.0099999999999996E-2</v>
      </c>
      <c r="H323" s="2">
        <f t="shared" si="5"/>
        <v>0.13916666666666699</v>
      </c>
    </row>
    <row r="324" spans="1:8">
      <c r="A324">
        <v>1986</v>
      </c>
      <c r="B324" t="s">
        <v>298</v>
      </c>
      <c r="C324" t="s">
        <v>299</v>
      </c>
      <c r="D324" s="2">
        <v>0.14699999999999999</v>
      </c>
      <c r="E324">
        <v>0.13700000000000001</v>
      </c>
      <c r="F324">
        <v>0.14199999999999999</v>
      </c>
      <c r="G324">
        <v>7.0099999999999996E-2</v>
      </c>
      <c r="H324" s="2">
        <f t="shared" si="5"/>
        <v>0.14199999999999999</v>
      </c>
    </row>
    <row r="325" spans="1:8">
      <c r="A325">
        <v>1986</v>
      </c>
      <c r="B325" t="s">
        <v>298</v>
      </c>
      <c r="C325" t="s">
        <v>299</v>
      </c>
      <c r="D325" s="2" t="s">
        <v>16</v>
      </c>
      <c r="E325">
        <v>0.13800000000000001</v>
      </c>
      <c r="F325" t="s">
        <v>16</v>
      </c>
      <c r="G325">
        <v>7.0099999999999996E-2</v>
      </c>
      <c r="H325" s="2">
        <f t="shared" si="5"/>
        <v>0.13800000000000001</v>
      </c>
    </row>
    <row r="326" spans="1:8">
      <c r="A326">
        <v>1986</v>
      </c>
      <c r="B326" t="s">
        <v>298</v>
      </c>
      <c r="C326" t="s">
        <v>299</v>
      </c>
      <c r="D326" s="2">
        <v>0.15049999999999999</v>
      </c>
      <c r="E326">
        <v>0.15049999999999999</v>
      </c>
      <c r="F326">
        <v>0.15049999999999999</v>
      </c>
      <c r="G326">
        <v>7.0099999999999996E-2</v>
      </c>
      <c r="H326" s="2">
        <f t="shared" si="5"/>
        <v>0.15049999999999999</v>
      </c>
    </row>
    <row r="327" spans="1:8">
      <c r="A327">
        <v>1986</v>
      </c>
      <c r="B327" t="s">
        <v>298</v>
      </c>
      <c r="C327" t="s">
        <v>301</v>
      </c>
      <c r="D327" s="2">
        <v>0.14599999999999999</v>
      </c>
      <c r="E327">
        <v>0.13600000000000001</v>
      </c>
      <c r="F327" t="s">
        <v>16</v>
      </c>
      <c r="G327">
        <v>7.0099999999999996E-2</v>
      </c>
      <c r="H327" s="2">
        <f t="shared" si="5"/>
        <v>0.14099999999999999</v>
      </c>
    </row>
    <row r="328" spans="1:8">
      <c r="A328">
        <v>1987</v>
      </c>
      <c r="B328" t="s">
        <v>298</v>
      </c>
      <c r="C328" t="s">
        <v>299</v>
      </c>
      <c r="D328" s="2">
        <v>0.14749999999999999</v>
      </c>
      <c r="E328">
        <v>0.13750000000000001</v>
      </c>
      <c r="F328">
        <v>0.14249999999999999</v>
      </c>
      <c r="G328">
        <v>7.0300000000000001E-2</v>
      </c>
      <c r="H328" s="2">
        <f t="shared" si="5"/>
        <v>0.14249999999999999</v>
      </c>
    </row>
    <row r="329" spans="1:8">
      <c r="A329">
        <v>1987</v>
      </c>
      <c r="B329" t="s">
        <v>298</v>
      </c>
      <c r="C329" t="s">
        <v>299</v>
      </c>
      <c r="D329" s="2">
        <v>0.14749999999999999</v>
      </c>
      <c r="E329">
        <v>0.13750000000000001</v>
      </c>
      <c r="F329">
        <v>0.14249999999999999</v>
      </c>
      <c r="G329">
        <v>7.0099999999999996E-2</v>
      </c>
      <c r="H329" s="2">
        <f t="shared" si="5"/>
        <v>0.14249999999999999</v>
      </c>
    </row>
    <row r="330" spans="1:8">
      <c r="A330">
        <v>1987</v>
      </c>
      <c r="B330" t="s">
        <v>298</v>
      </c>
      <c r="C330" t="s">
        <v>301</v>
      </c>
      <c r="D330" s="2">
        <v>0.14949999999999999</v>
      </c>
      <c r="E330">
        <v>0.14949999999999999</v>
      </c>
      <c r="F330" t="s">
        <v>16</v>
      </c>
      <c r="G330">
        <v>7.0099999999999996E-2</v>
      </c>
      <c r="H330" s="2">
        <f t="shared" si="5"/>
        <v>0.14949999999999999</v>
      </c>
    </row>
    <row r="331" spans="1:8">
      <c r="A331">
        <v>1987</v>
      </c>
      <c r="B331" t="s">
        <v>298</v>
      </c>
      <c r="C331" t="s">
        <v>299</v>
      </c>
      <c r="D331" s="2" t="s">
        <v>16</v>
      </c>
      <c r="E331">
        <v>0.14050000000000001</v>
      </c>
      <c r="F331" t="s">
        <v>16</v>
      </c>
      <c r="G331">
        <v>7.0099999999999996E-2</v>
      </c>
      <c r="H331" s="2">
        <f t="shared" si="5"/>
        <v>0.14050000000000001</v>
      </c>
    </row>
    <row r="332" spans="1:8">
      <c r="A332">
        <v>1987</v>
      </c>
      <c r="B332" t="s">
        <v>298</v>
      </c>
      <c r="C332" t="s">
        <v>301</v>
      </c>
      <c r="D332" s="2">
        <v>0.14949999999999999</v>
      </c>
      <c r="E332">
        <v>0.14050000000000001</v>
      </c>
      <c r="F332">
        <v>0.14549999999999999</v>
      </c>
      <c r="G332">
        <v>7.0099999999999996E-2</v>
      </c>
      <c r="H332" s="2">
        <f t="shared" si="5"/>
        <v>0.145166666666667</v>
      </c>
    </row>
    <row r="333" spans="1:8">
      <c r="A333">
        <v>1987</v>
      </c>
      <c r="B333" t="s">
        <v>298</v>
      </c>
      <c r="C333" t="s">
        <v>301</v>
      </c>
      <c r="D333" s="2">
        <v>0.14949999999999999</v>
      </c>
      <c r="E333">
        <v>0.14050000000000001</v>
      </c>
      <c r="F333">
        <v>0.14050000000000001</v>
      </c>
      <c r="G333">
        <v>7.0099999999999996E-2</v>
      </c>
      <c r="H333" s="2">
        <f t="shared" si="5"/>
        <v>0.14349999999999999</v>
      </c>
    </row>
    <row r="334" spans="1:8">
      <c r="A334">
        <v>1987</v>
      </c>
      <c r="B334" t="s">
        <v>298</v>
      </c>
      <c r="C334" t="s">
        <v>301</v>
      </c>
      <c r="D334" s="2">
        <v>0.14749999999999999</v>
      </c>
      <c r="E334">
        <v>0.13750000000000001</v>
      </c>
      <c r="F334" t="s">
        <v>16</v>
      </c>
      <c r="G334">
        <v>7.0099999999999996E-2</v>
      </c>
      <c r="H334" s="2">
        <f t="shared" si="5"/>
        <v>0.14249999999999999</v>
      </c>
    </row>
    <row r="335" spans="1:8">
      <c r="A335">
        <v>1987</v>
      </c>
      <c r="B335" t="s">
        <v>298</v>
      </c>
      <c r="C335" t="s">
        <v>299</v>
      </c>
      <c r="D335" s="2">
        <v>0.155</v>
      </c>
      <c r="E335">
        <v>0.14499999999999999</v>
      </c>
      <c r="F335" t="s">
        <v>16</v>
      </c>
      <c r="G335">
        <v>7.0099999999999996E-2</v>
      </c>
      <c r="H335" s="2">
        <f t="shared" si="5"/>
        <v>0.15</v>
      </c>
    </row>
    <row r="336" spans="1:8">
      <c r="A336">
        <v>1987</v>
      </c>
      <c r="B336" t="s">
        <v>298</v>
      </c>
      <c r="C336" t="s">
        <v>301</v>
      </c>
      <c r="D336" s="2">
        <v>0.1535</v>
      </c>
      <c r="E336">
        <v>0.1535</v>
      </c>
      <c r="F336" t="s">
        <v>16</v>
      </c>
      <c r="G336">
        <v>7.0499999999999993E-2</v>
      </c>
      <c r="H336" s="2">
        <f t="shared" si="5"/>
        <v>0.1535</v>
      </c>
    </row>
    <row r="337" spans="1:8">
      <c r="A337">
        <v>1987</v>
      </c>
      <c r="B337" t="s">
        <v>298</v>
      </c>
      <c r="C337" t="s">
        <v>301</v>
      </c>
      <c r="D337" s="2">
        <v>0.1525</v>
      </c>
      <c r="E337">
        <v>0.14499999999999999</v>
      </c>
      <c r="F337" t="s">
        <v>16</v>
      </c>
      <c r="G337">
        <v>7.0499999999999993E-2</v>
      </c>
      <c r="H337" s="2">
        <f t="shared" si="5"/>
        <v>0.14874999999999999</v>
      </c>
    </row>
    <row r="338" spans="1:8">
      <c r="A338">
        <v>1987</v>
      </c>
      <c r="B338" t="s">
        <v>298</v>
      </c>
      <c r="C338" t="s">
        <v>301</v>
      </c>
      <c r="D338" s="2">
        <v>0.13500000000000001</v>
      </c>
      <c r="E338">
        <v>0.128</v>
      </c>
      <c r="F338">
        <v>0.13300000000000001</v>
      </c>
      <c r="G338">
        <v>7.0499999999999993E-2</v>
      </c>
      <c r="H338" s="2">
        <f t="shared" si="5"/>
        <v>0.13200000000000001</v>
      </c>
    </row>
    <row r="339" spans="1:8">
      <c r="A339">
        <v>1987</v>
      </c>
      <c r="B339" t="s">
        <v>298</v>
      </c>
      <c r="C339" t="s">
        <v>299</v>
      </c>
      <c r="D339" s="2">
        <v>0.153</v>
      </c>
      <c r="E339">
        <v>0.153</v>
      </c>
      <c r="F339">
        <v>0.153</v>
      </c>
      <c r="G339">
        <v>7.0499999999999993E-2</v>
      </c>
      <c r="H339" s="2">
        <f t="shared" si="5"/>
        <v>0.153</v>
      </c>
    </row>
    <row r="340" spans="1:8">
      <c r="A340">
        <v>1987</v>
      </c>
      <c r="B340" t="s">
        <v>298</v>
      </c>
      <c r="C340" t="s">
        <v>301</v>
      </c>
      <c r="D340" s="2">
        <v>0.1535</v>
      </c>
      <c r="E340">
        <v>0.14349999999999999</v>
      </c>
      <c r="F340">
        <v>0.14849999999999999</v>
      </c>
      <c r="G340">
        <v>7.0499999999999993E-2</v>
      </c>
      <c r="H340" s="2">
        <f t="shared" si="5"/>
        <v>0.14849999999999999</v>
      </c>
    </row>
    <row r="341" spans="1:8">
      <c r="A341">
        <v>1988</v>
      </c>
      <c r="B341" t="s">
        <v>298</v>
      </c>
      <c r="C341" t="s">
        <v>299</v>
      </c>
      <c r="D341" s="2">
        <v>0.15</v>
      </c>
      <c r="E341">
        <v>0.14000000000000001</v>
      </c>
      <c r="F341">
        <v>0.14499999999999999</v>
      </c>
      <c r="G341">
        <v>6.6500000000000004E-2</v>
      </c>
      <c r="H341" s="2">
        <f t="shared" si="5"/>
        <v>0.14499999999999999</v>
      </c>
    </row>
    <row r="342" spans="1:8">
      <c r="A342">
        <v>1988</v>
      </c>
      <c r="B342" t="s">
        <v>298</v>
      </c>
      <c r="C342" t="s">
        <v>301</v>
      </c>
      <c r="D342" s="2">
        <v>0.1525</v>
      </c>
      <c r="E342">
        <v>0.1525</v>
      </c>
      <c r="F342" t="s">
        <v>16</v>
      </c>
      <c r="G342">
        <v>6.6500000000000004E-2</v>
      </c>
      <c r="H342" s="2">
        <f t="shared" si="5"/>
        <v>0.1525</v>
      </c>
    </row>
    <row r="343" spans="1:8">
      <c r="A343">
        <v>1988</v>
      </c>
      <c r="B343" t="s">
        <v>298</v>
      </c>
      <c r="C343" t="s">
        <v>299</v>
      </c>
      <c r="D343" s="2">
        <v>0.14580000000000001</v>
      </c>
      <c r="E343">
        <v>0.14580000000000001</v>
      </c>
      <c r="F343">
        <v>0.14580000000000001</v>
      </c>
      <c r="G343">
        <v>6.6500000000000004E-2</v>
      </c>
      <c r="H343" s="2">
        <f t="shared" si="5"/>
        <v>0.14580000000000001</v>
      </c>
    </row>
    <row r="344" spans="1:8">
      <c r="A344">
        <v>1988</v>
      </c>
      <c r="B344" t="s">
        <v>298</v>
      </c>
      <c r="C344" t="s">
        <v>299</v>
      </c>
      <c r="D344" s="2" t="s">
        <v>16</v>
      </c>
      <c r="E344">
        <v>0.14299999999999999</v>
      </c>
      <c r="F344">
        <v>0.14549999999999999</v>
      </c>
      <c r="G344">
        <v>6.6500000000000004E-2</v>
      </c>
      <c r="H344" s="2">
        <f t="shared" si="5"/>
        <v>0.14424999999999999</v>
      </c>
    </row>
    <row r="345" spans="1:8">
      <c r="A345">
        <v>1988</v>
      </c>
      <c r="B345" t="s">
        <v>298</v>
      </c>
      <c r="C345" t="s">
        <v>301</v>
      </c>
      <c r="D345" s="2">
        <v>0.154</v>
      </c>
      <c r="E345">
        <v>0.14449999999999999</v>
      </c>
      <c r="F345">
        <v>0.14449999999999999</v>
      </c>
      <c r="G345">
        <v>6.6500000000000004E-2</v>
      </c>
      <c r="H345" s="2">
        <f t="shared" si="5"/>
        <v>0.147666666666667</v>
      </c>
    </row>
    <row r="346" spans="1:8">
      <c r="A346">
        <v>1988</v>
      </c>
      <c r="B346" t="s">
        <v>298</v>
      </c>
      <c r="C346" t="s">
        <v>301</v>
      </c>
      <c r="D346" s="2">
        <v>0.15049999999999999</v>
      </c>
      <c r="E346">
        <v>0.14050000000000001</v>
      </c>
      <c r="F346" t="s">
        <v>16</v>
      </c>
      <c r="G346">
        <v>6.6500000000000004E-2</v>
      </c>
      <c r="H346" s="2">
        <f t="shared" si="5"/>
        <v>0.14549999999999999</v>
      </c>
    </row>
    <row r="347" spans="1:8">
      <c r="A347">
        <v>1988</v>
      </c>
      <c r="B347" t="s">
        <v>298</v>
      </c>
      <c r="C347" t="s">
        <v>299</v>
      </c>
      <c r="D347" s="2">
        <v>0.155</v>
      </c>
      <c r="E347">
        <v>0.14499999999999999</v>
      </c>
      <c r="F347" t="s">
        <v>16</v>
      </c>
      <c r="G347">
        <v>6.6500000000000004E-2</v>
      </c>
      <c r="H347" s="2">
        <f t="shared" si="5"/>
        <v>0.15</v>
      </c>
    </row>
    <row r="348" spans="1:8">
      <c r="A348">
        <v>1988</v>
      </c>
      <c r="B348" t="s">
        <v>298</v>
      </c>
      <c r="C348" t="s">
        <v>301</v>
      </c>
      <c r="D348" s="2">
        <v>0.155</v>
      </c>
      <c r="E348">
        <v>0.14499999999999999</v>
      </c>
      <c r="F348">
        <v>0.14899999999999999</v>
      </c>
      <c r="G348">
        <v>6.6500000000000004E-2</v>
      </c>
      <c r="H348" s="2">
        <f t="shared" si="5"/>
        <v>0.149666666666667</v>
      </c>
    </row>
    <row r="349" spans="1:8">
      <c r="A349">
        <v>1988</v>
      </c>
      <c r="B349" t="s">
        <v>298</v>
      </c>
      <c r="C349" t="s">
        <v>301</v>
      </c>
      <c r="D349" s="2">
        <v>0.1555</v>
      </c>
      <c r="E349">
        <v>0.1555</v>
      </c>
      <c r="F349">
        <v>0.1555</v>
      </c>
      <c r="G349">
        <v>6.6500000000000004E-2</v>
      </c>
      <c r="H349" s="2">
        <f t="shared" si="5"/>
        <v>0.1555</v>
      </c>
    </row>
    <row r="350" spans="1:8">
      <c r="A350">
        <v>1988</v>
      </c>
      <c r="B350" t="s">
        <v>298</v>
      </c>
      <c r="C350" t="s">
        <v>301</v>
      </c>
      <c r="D350" s="2">
        <v>0.155</v>
      </c>
      <c r="E350">
        <v>0.14749999999999999</v>
      </c>
      <c r="F350" t="s">
        <v>16</v>
      </c>
      <c r="G350">
        <v>6.6500000000000004E-2</v>
      </c>
      <c r="H350" s="2">
        <f t="shared" si="5"/>
        <v>0.15125</v>
      </c>
    </row>
    <row r="351" spans="1:8">
      <c r="A351">
        <v>1988</v>
      </c>
      <c r="B351" t="s">
        <v>298</v>
      </c>
      <c r="C351" t="s">
        <v>301</v>
      </c>
      <c r="D351" s="2">
        <v>0.13900000000000001</v>
      </c>
      <c r="E351">
        <v>0.13</v>
      </c>
      <c r="F351">
        <v>0.14000000000000001</v>
      </c>
      <c r="G351">
        <v>6.6500000000000004E-2</v>
      </c>
      <c r="H351" s="2">
        <f t="shared" si="5"/>
        <v>0.136333333333333</v>
      </c>
    </row>
    <row r="352" spans="1:8">
      <c r="A352">
        <v>1988</v>
      </c>
      <c r="B352" t="s">
        <v>298</v>
      </c>
      <c r="C352" t="s">
        <v>301</v>
      </c>
      <c r="D352" s="2">
        <v>0.155</v>
      </c>
      <c r="E352">
        <v>0.14499999999999999</v>
      </c>
      <c r="F352">
        <v>0.14899999999999999</v>
      </c>
      <c r="G352">
        <v>6.6500000000000004E-2</v>
      </c>
      <c r="H352" s="2">
        <f t="shared" si="5"/>
        <v>0.149666666666667</v>
      </c>
    </row>
    <row r="353" spans="1:8">
      <c r="A353">
        <v>1988</v>
      </c>
      <c r="B353" t="s">
        <v>298</v>
      </c>
      <c r="C353" t="s">
        <v>299</v>
      </c>
      <c r="D353" s="2">
        <v>0.14829999999999999</v>
      </c>
      <c r="E353">
        <v>0.14829999999999999</v>
      </c>
      <c r="F353">
        <v>0.14829999999999999</v>
      </c>
      <c r="G353">
        <v>6.6500000000000004E-2</v>
      </c>
      <c r="H353" s="2">
        <f t="shared" si="5"/>
        <v>0.14829999999999999</v>
      </c>
    </row>
    <row r="354" spans="1:8">
      <c r="A354">
        <v>1989</v>
      </c>
      <c r="B354" t="s">
        <v>298</v>
      </c>
      <c r="C354" t="s">
        <v>299</v>
      </c>
      <c r="D354" s="2">
        <v>0.14000000000000001</v>
      </c>
      <c r="E354">
        <v>0.13</v>
      </c>
      <c r="F354" t="s">
        <v>16</v>
      </c>
      <c r="G354">
        <v>7.0599999999999996E-2</v>
      </c>
      <c r="H354" s="2">
        <f t="shared" si="5"/>
        <v>0.13500000000000001</v>
      </c>
    </row>
    <row r="355" spans="1:8">
      <c r="A355">
        <v>1989</v>
      </c>
      <c r="B355" t="s">
        <v>298</v>
      </c>
      <c r="C355" t="s">
        <v>301</v>
      </c>
      <c r="D355" s="2">
        <v>0.129</v>
      </c>
      <c r="E355">
        <v>0.11799999999999999</v>
      </c>
      <c r="F355">
        <v>0.129</v>
      </c>
      <c r="G355">
        <v>7.0599999999999996E-2</v>
      </c>
      <c r="H355" s="2">
        <f t="shared" si="5"/>
        <v>0.12533333333333299</v>
      </c>
    </row>
    <row r="356" spans="1:8">
      <c r="A356">
        <v>1989</v>
      </c>
      <c r="B356" t="s">
        <v>298</v>
      </c>
      <c r="C356" t="s">
        <v>299</v>
      </c>
      <c r="D356" s="2">
        <v>0.1288</v>
      </c>
      <c r="E356">
        <v>0.1288</v>
      </c>
      <c r="F356" t="s">
        <v>16</v>
      </c>
      <c r="G356">
        <v>7.0699999999999999E-2</v>
      </c>
      <c r="H356" s="2">
        <f t="shared" si="5"/>
        <v>0.1288</v>
      </c>
    </row>
    <row r="357" spans="1:8">
      <c r="A357">
        <v>1989</v>
      </c>
      <c r="B357" t="s">
        <v>298</v>
      </c>
      <c r="C357" t="s">
        <v>299</v>
      </c>
      <c r="D357" s="2" t="s">
        <v>16</v>
      </c>
      <c r="E357">
        <v>0.11749999999999999</v>
      </c>
      <c r="F357">
        <v>0.1225</v>
      </c>
      <c r="G357">
        <v>7.0699999999999999E-2</v>
      </c>
      <c r="H357" s="2">
        <f t="shared" si="5"/>
        <v>0.12</v>
      </c>
    </row>
    <row r="358" spans="1:8">
      <c r="A358">
        <v>1989</v>
      </c>
      <c r="B358" t="s">
        <v>298</v>
      </c>
      <c r="C358" t="s">
        <v>301</v>
      </c>
      <c r="D358" s="2">
        <v>0.1285</v>
      </c>
      <c r="E358">
        <v>0.11849999999999999</v>
      </c>
      <c r="F358">
        <v>0.11849999999999999</v>
      </c>
      <c r="G358">
        <v>7.0699999999999999E-2</v>
      </c>
      <c r="H358" s="2">
        <f t="shared" si="5"/>
        <v>0.121833333333333</v>
      </c>
    </row>
    <row r="359" spans="1:8">
      <c r="A359">
        <v>1989</v>
      </c>
      <c r="B359" t="s">
        <v>298</v>
      </c>
      <c r="C359" t="s">
        <v>301</v>
      </c>
      <c r="D359" s="2">
        <v>0.14000000000000001</v>
      </c>
      <c r="E359">
        <v>0.13</v>
      </c>
      <c r="F359" t="s">
        <v>16</v>
      </c>
      <c r="G359">
        <v>7.0699999999999999E-2</v>
      </c>
      <c r="H359" s="2">
        <f t="shared" si="5"/>
        <v>0.13500000000000001</v>
      </c>
    </row>
    <row r="360" spans="1:8">
      <c r="A360">
        <v>1989</v>
      </c>
      <c r="B360" t="s">
        <v>298</v>
      </c>
      <c r="C360" t="s">
        <v>299</v>
      </c>
      <c r="D360" s="2">
        <v>0.13200000000000001</v>
      </c>
      <c r="E360">
        <v>0.122</v>
      </c>
      <c r="F360" t="s">
        <v>16</v>
      </c>
      <c r="G360">
        <v>7.0699999999999999E-2</v>
      </c>
      <c r="H360" s="2">
        <f t="shared" si="5"/>
        <v>0.127</v>
      </c>
    </row>
    <row r="361" spans="1:8">
      <c r="A361">
        <v>1989</v>
      </c>
      <c r="B361" t="s">
        <v>298</v>
      </c>
      <c r="C361" t="s">
        <v>299</v>
      </c>
      <c r="D361" s="2">
        <v>0.1275</v>
      </c>
      <c r="E361">
        <v>0.1275</v>
      </c>
      <c r="F361">
        <v>0.1275</v>
      </c>
      <c r="G361">
        <v>7.1900000000000006E-2</v>
      </c>
      <c r="H361" s="2">
        <f t="shared" si="5"/>
        <v>0.1275</v>
      </c>
    </row>
    <row r="362" spans="1:8">
      <c r="A362">
        <v>1989</v>
      </c>
      <c r="B362" t="s">
        <v>298</v>
      </c>
      <c r="C362" t="s">
        <v>299</v>
      </c>
      <c r="D362" s="2">
        <v>0.122</v>
      </c>
      <c r="E362">
        <v>0.122</v>
      </c>
      <c r="F362">
        <v>0.122</v>
      </c>
      <c r="G362">
        <v>7.1900000000000006E-2</v>
      </c>
      <c r="H362" s="2">
        <f t="shared" si="5"/>
        <v>0.122</v>
      </c>
    </row>
    <row r="363" spans="1:8">
      <c r="A363">
        <v>1989</v>
      </c>
      <c r="B363" t="s">
        <v>298</v>
      </c>
      <c r="C363" t="s">
        <v>301</v>
      </c>
      <c r="D363" s="2">
        <v>0.1244</v>
      </c>
      <c r="E363">
        <v>0.1134</v>
      </c>
      <c r="F363">
        <v>0.11940000000000001</v>
      </c>
      <c r="G363">
        <v>7.1900000000000006E-2</v>
      </c>
      <c r="H363" s="2">
        <f t="shared" si="5"/>
        <v>0.119066666666667</v>
      </c>
    </row>
    <row r="364" spans="1:8">
      <c r="A364">
        <v>1989</v>
      </c>
      <c r="B364" t="s">
        <v>298</v>
      </c>
      <c r="C364" t="s">
        <v>301</v>
      </c>
      <c r="D364" s="2">
        <v>0.1275</v>
      </c>
      <c r="E364">
        <v>0.11749999999999999</v>
      </c>
      <c r="F364">
        <v>0.1225</v>
      </c>
      <c r="G364">
        <v>7.1900000000000006E-2</v>
      </c>
      <c r="H364" s="2">
        <f t="shared" si="5"/>
        <v>0.1225</v>
      </c>
    </row>
    <row r="365" spans="1:8">
      <c r="A365">
        <v>1989</v>
      </c>
      <c r="B365" t="s">
        <v>298</v>
      </c>
      <c r="C365" t="s">
        <v>299</v>
      </c>
      <c r="D365" s="2">
        <v>0.122</v>
      </c>
      <c r="E365">
        <v>0.122</v>
      </c>
      <c r="F365">
        <v>0.122</v>
      </c>
      <c r="G365">
        <v>7.1900000000000006E-2</v>
      </c>
      <c r="H365" s="2">
        <f t="shared" si="5"/>
        <v>0.122</v>
      </c>
    </row>
    <row r="366" spans="1:8">
      <c r="A366">
        <v>1989</v>
      </c>
      <c r="B366" t="s">
        <v>298</v>
      </c>
      <c r="C366" t="s">
        <v>301</v>
      </c>
      <c r="D366" s="2">
        <v>0.155</v>
      </c>
      <c r="E366">
        <v>0.14499999999999999</v>
      </c>
      <c r="F366">
        <v>0.14899999999999999</v>
      </c>
      <c r="G366">
        <v>7.1900000000000006E-2</v>
      </c>
      <c r="H366" s="2">
        <f t="shared" si="5"/>
        <v>0.149666666666667</v>
      </c>
    </row>
    <row r="367" spans="1:8">
      <c r="A367">
        <v>1990</v>
      </c>
      <c r="B367" t="s">
        <v>298</v>
      </c>
      <c r="C367" t="s">
        <v>301</v>
      </c>
      <c r="D367" s="2">
        <v>0.16300000000000001</v>
      </c>
      <c r="E367">
        <v>0.156</v>
      </c>
      <c r="F367">
        <v>0.156</v>
      </c>
      <c r="G367">
        <v>7.9699999999999993E-2</v>
      </c>
      <c r="H367" s="2">
        <f t="shared" si="5"/>
        <v>0.15833333333333299</v>
      </c>
    </row>
    <row r="368" spans="1:8">
      <c r="A368">
        <v>1990</v>
      </c>
      <c r="B368" t="s">
        <v>298</v>
      </c>
      <c r="C368" t="s">
        <v>301</v>
      </c>
      <c r="D368" s="2">
        <v>0.16300000000000001</v>
      </c>
      <c r="E368">
        <v>0.152</v>
      </c>
      <c r="F368">
        <v>0.159</v>
      </c>
      <c r="G368">
        <v>7.9699999999999993E-2</v>
      </c>
      <c r="H368" s="2">
        <f t="shared" si="5"/>
        <v>0.158</v>
      </c>
    </row>
    <row r="369" spans="1:8">
      <c r="A369">
        <v>1990</v>
      </c>
      <c r="B369" t="s">
        <v>298</v>
      </c>
      <c r="C369" t="s">
        <v>299</v>
      </c>
      <c r="D369" s="2">
        <v>0.16569999999999999</v>
      </c>
      <c r="E369">
        <v>0.1573</v>
      </c>
      <c r="F369" t="s">
        <v>16</v>
      </c>
      <c r="G369">
        <v>7.9699999999999993E-2</v>
      </c>
      <c r="H369" s="2">
        <f t="shared" si="5"/>
        <v>0.1615</v>
      </c>
    </row>
    <row r="370" spans="1:8">
      <c r="A370">
        <v>1990</v>
      </c>
      <c r="B370" t="s">
        <v>298</v>
      </c>
      <c r="C370" t="s">
        <v>301</v>
      </c>
      <c r="D370" s="2">
        <v>0.16900000000000001</v>
      </c>
      <c r="E370">
        <v>0.16900000000000001</v>
      </c>
      <c r="F370">
        <v>0.16900000000000001</v>
      </c>
      <c r="G370">
        <v>7.9699999999999993E-2</v>
      </c>
      <c r="H370" s="2">
        <f t="shared" si="5"/>
        <v>0.16900000000000001</v>
      </c>
    </row>
    <row r="371" spans="1:8">
      <c r="A371">
        <v>1990</v>
      </c>
      <c r="B371" t="s">
        <v>298</v>
      </c>
      <c r="C371" t="s">
        <v>299</v>
      </c>
      <c r="D371" s="2">
        <v>0.16569999999999999</v>
      </c>
      <c r="E371">
        <v>0.1573</v>
      </c>
      <c r="F371">
        <v>0.1643</v>
      </c>
      <c r="G371">
        <v>7.9699999999999993E-2</v>
      </c>
      <c r="H371" s="2">
        <f t="shared" si="5"/>
        <v>0.16243333333333301</v>
      </c>
    </row>
    <row r="372" spans="1:8">
      <c r="A372">
        <v>1990</v>
      </c>
      <c r="B372" t="s">
        <v>298</v>
      </c>
      <c r="C372" t="s">
        <v>301</v>
      </c>
      <c r="D372" s="2">
        <v>0.158</v>
      </c>
      <c r="E372">
        <v>0.14799999999999999</v>
      </c>
      <c r="F372" t="s">
        <v>16</v>
      </c>
      <c r="G372">
        <v>7.9699999999999993E-2</v>
      </c>
      <c r="H372" s="2">
        <f t="shared" si="5"/>
        <v>0.153</v>
      </c>
    </row>
    <row r="373" spans="1:8">
      <c r="A373">
        <v>1990</v>
      </c>
      <c r="B373" t="s">
        <v>298</v>
      </c>
      <c r="C373" t="s">
        <v>299</v>
      </c>
      <c r="D373" s="2">
        <v>0.16070000000000001</v>
      </c>
      <c r="E373">
        <v>0.15229999999999999</v>
      </c>
      <c r="F373" t="s">
        <v>16</v>
      </c>
      <c r="G373">
        <v>7.9699999999999993E-2</v>
      </c>
      <c r="H373" s="2">
        <f t="shared" si="5"/>
        <v>0.1565</v>
      </c>
    </row>
    <row r="374" spans="1:8">
      <c r="A374">
        <v>1990</v>
      </c>
      <c r="B374" t="s">
        <v>298</v>
      </c>
      <c r="C374" t="s">
        <v>299</v>
      </c>
      <c r="D374" s="2">
        <v>0.16</v>
      </c>
      <c r="E374">
        <v>0.16</v>
      </c>
      <c r="F374">
        <v>0.16</v>
      </c>
      <c r="G374">
        <v>7.9699999999999993E-2</v>
      </c>
      <c r="H374" s="2">
        <f t="shared" si="5"/>
        <v>0.16</v>
      </c>
    </row>
    <row r="375" spans="1:8">
      <c r="A375">
        <v>1990</v>
      </c>
      <c r="B375" t="s">
        <v>298</v>
      </c>
      <c r="C375" t="s">
        <v>301</v>
      </c>
      <c r="D375" s="2" t="s">
        <v>16</v>
      </c>
      <c r="E375">
        <v>0.154</v>
      </c>
      <c r="F375">
        <v>0.16400000000000001</v>
      </c>
      <c r="G375">
        <v>7.9699999999999993E-2</v>
      </c>
      <c r="H375" s="2">
        <f t="shared" si="5"/>
        <v>0.159</v>
      </c>
    </row>
    <row r="376" spans="1:8">
      <c r="A376">
        <v>1990</v>
      </c>
      <c r="B376" t="s">
        <v>298</v>
      </c>
      <c r="C376" t="s">
        <v>301</v>
      </c>
      <c r="D376" s="2">
        <v>0.16500000000000001</v>
      </c>
      <c r="E376">
        <v>0.157</v>
      </c>
      <c r="F376">
        <v>0.16400000000000001</v>
      </c>
      <c r="G376">
        <v>8.2299999999999998E-2</v>
      </c>
      <c r="H376" s="2">
        <f t="shared" si="5"/>
        <v>0.16200000000000001</v>
      </c>
    </row>
    <row r="377" spans="1:8">
      <c r="A377">
        <v>1990</v>
      </c>
      <c r="B377" t="s">
        <v>298</v>
      </c>
      <c r="C377" t="s">
        <v>299</v>
      </c>
      <c r="D377" s="2">
        <v>0.16</v>
      </c>
      <c r="E377">
        <v>0.16</v>
      </c>
      <c r="F377">
        <v>0.16</v>
      </c>
      <c r="G377">
        <v>8.2299999999999998E-2</v>
      </c>
      <c r="H377" s="2">
        <f t="shared" si="5"/>
        <v>0.16</v>
      </c>
    </row>
    <row r="378" spans="1:8">
      <c r="A378">
        <v>1990</v>
      </c>
      <c r="B378" t="s">
        <v>298</v>
      </c>
      <c r="C378" t="s">
        <v>301</v>
      </c>
      <c r="D378" s="2">
        <v>0.16300000000000001</v>
      </c>
      <c r="E378">
        <v>0.158</v>
      </c>
      <c r="F378">
        <v>0.158</v>
      </c>
      <c r="G378">
        <v>8.2299999999999998E-2</v>
      </c>
      <c r="H378" s="2">
        <f t="shared" si="5"/>
        <v>0.15966666666666701</v>
      </c>
    </row>
    <row r="379" spans="1:8">
      <c r="A379">
        <v>1990</v>
      </c>
      <c r="B379" t="s">
        <v>298</v>
      </c>
      <c r="C379" t="s">
        <v>299</v>
      </c>
      <c r="D379" s="2">
        <v>0.16</v>
      </c>
      <c r="E379">
        <v>0.16</v>
      </c>
      <c r="F379">
        <v>0.16</v>
      </c>
      <c r="G379">
        <v>8.2299999999999998E-2</v>
      </c>
      <c r="H379" s="2">
        <f t="shared" si="5"/>
        <v>0.16</v>
      </c>
    </row>
    <row r="380" spans="1:8">
      <c r="A380">
        <v>1990</v>
      </c>
      <c r="B380" t="s">
        <v>298</v>
      </c>
      <c r="C380" t="s">
        <v>301</v>
      </c>
      <c r="D380" s="2">
        <v>0.153</v>
      </c>
      <c r="E380">
        <v>0.14299999999999999</v>
      </c>
      <c r="F380">
        <v>0.151</v>
      </c>
      <c r="G380">
        <v>7.8200000000000006E-2</v>
      </c>
      <c r="H380" s="2">
        <f t="shared" si="5"/>
        <v>0.14899999999999999</v>
      </c>
    </row>
    <row r="381" spans="1:8">
      <c r="A381">
        <v>1991</v>
      </c>
      <c r="B381" t="s">
        <v>298</v>
      </c>
      <c r="C381" t="s">
        <v>301</v>
      </c>
      <c r="D381" s="2">
        <v>0.14949999999999999</v>
      </c>
      <c r="E381">
        <v>0.13850000000000001</v>
      </c>
      <c r="F381">
        <v>0.14549999999999999</v>
      </c>
      <c r="G381">
        <v>6.4899999999999999E-2</v>
      </c>
      <c r="H381" s="2">
        <f t="shared" si="5"/>
        <v>0.14449999999999999</v>
      </c>
    </row>
    <row r="382" spans="1:8">
      <c r="A382">
        <v>1991</v>
      </c>
      <c r="B382" t="s">
        <v>298</v>
      </c>
      <c r="C382" t="s">
        <v>299</v>
      </c>
      <c r="D382" s="2">
        <v>0.14000000000000001</v>
      </c>
      <c r="E382">
        <v>0.1333</v>
      </c>
      <c r="F382" t="s">
        <v>16</v>
      </c>
      <c r="G382">
        <v>6.4899999999999999E-2</v>
      </c>
      <c r="H382" s="2">
        <f t="shared" si="5"/>
        <v>0.13664999999999999</v>
      </c>
    </row>
    <row r="383" spans="1:8">
      <c r="A383">
        <v>1991</v>
      </c>
      <c r="B383" t="s">
        <v>298</v>
      </c>
      <c r="C383" t="s">
        <v>299</v>
      </c>
      <c r="D383" s="2">
        <v>0.13689999999999999</v>
      </c>
      <c r="E383">
        <v>0.12989999999999999</v>
      </c>
      <c r="F383">
        <v>0.158</v>
      </c>
      <c r="G383">
        <v>6.6000000000000003E-2</v>
      </c>
      <c r="H383" s="2">
        <f t="shared" si="5"/>
        <v>0.1416</v>
      </c>
    </row>
    <row r="384" spans="1:8">
      <c r="A384">
        <v>1991</v>
      </c>
      <c r="B384" t="s">
        <v>298</v>
      </c>
      <c r="C384" t="s">
        <v>301</v>
      </c>
      <c r="D384" s="2">
        <v>0.15</v>
      </c>
      <c r="E384">
        <v>0.15</v>
      </c>
      <c r="F384">
        <v>0.15</v>
      </c>
      <c r="G384">
        <v>6.6000000000000003E-2</v>
      </c>
      <c r="H384" s="2">
        <f t="shared" si="5"/>
        <v>0.15</v>
      </c>
    </row>
    <row r="385" spans="1:8">
      <c r="A385">
        <v>1991</v>
      </c>
      <c r="B385" t="s">
        <v>298</v>
      </c>
      <c r="C385" t="s">
        <v>301</v>
      </c>
      <c r="D385" s="2">
        <v>0.13780000000000001</v>
      </c>
      <c r="E385">
        <v>0.1278</v>
      </c>
      <c r="F385" t="s">
        <v>16</v>
      </c>
      <c r="G385">
        <v>6.6000000000000003E-2</v>
      </c>
      <c r="H385" s="2">
        <f t="shared" si="5"/>
        <v>0.1328</v>
      </c>
    </row>
    <row r="386" spans="1:8">
      <c r="A386">
        <v>1991</v>
      </c>
      <c r="B386" t="s">
        <v>298</v>
      </c>
      <c r="C386" t="s">
        <v>299</v>
      </c>
      <c r="D386" s="2">
        <v>0.14499999999999999</v>
      </c>
      <c r="E386">
        <v>0.13500000000000001</v>
      </c>
      <c r="F386">
        <v>0.14099999999999999</v>
      </c>
      <c r="G386">
        <v>6.6000000000000003E-2</v>
      </c>
      <c r="H386" s="2">
        <f t="shared" ref="H386:H393" si="6">AVERAGE(D386:F386)</f>
        <v>0.140333333333333</v>
      </c>
    </row>
    <row r="387" spans="1:8">
      <c r="A387">
        <v>1991</v>
      </c>
      <c r="B387" t="s">
        <v>298</v>
      </c>
      <c r="C387" t="s">
        <v>299</v>
      </c>
      <c r="D387" s="2">
        <v>0.1386</v>
      </c>
      <c r="E387">
        <v>0.1386</v>
      </c>
      <c r="F387">
        <v>0.1386</v>
      </c>
      <c r="G387">
        <v>6.6000000000000003E-2</v>
      </c>
      <c r="H387" s="2">
        <f t="shared" si="6"/>
        <v>0.1386</v>
      </c>
    </row>
    <row r="388" spans="1:8">
      <c r="A388">
        <v>1991</v>
      </c>
      <c r="B388" t="s">
        <v>298</v>
      </c>
      <c r="C388" t="s">
        <v>301</v>
      </c>
      <c r="D388" s="2">
        <v>0.13800000000000001</v>
      </c>
      <c r="E388" t="s">
        <v>16</v>
      </c>
      <c r="F388">
        <v>0.13800000000000001</v>
      </c>
      <c r="G388">
        <v>6.6000000000000003E-2</v>
      </c>
      <c r="H388" s="2">
        <f t="shared" si="6"/>
        <v>0.13800000000000001</v>
      </c>
    </row>
    <row r="389" spans="1:8">
      <c r="A389">
        <v>1991</v>
      </c>
      <c r="B389" t="s">
        <v>298</v>
      </c>
      <c r="C389" t="s">
        <v>301</v>
      </c>
      <c r="D389" s="2">
        <v>0.14199999999999999</v>
      </c>
      <c r="E389">
        <v>0.13300000000000001</v>
      </c>
      <c r="F389">
        <v>0.14099999999999999</v>
      </c>
      <c r="G389">
        <v>6.7799999999999999E-2</v>
      </c>
      <c r="H389" s="2">
        <f t="shared" si="6"/>
        <v>0.13866666666666699</v>
      </c>
    </row>
    <row r="390" spans="1:8">
      <c r="A390">
        <v>1991</v>
      </c>
      <c r="B390" t="s">
        <v>298</v>
      </c>
      <c r="C390" t="s">
        <v>301</v>
      </c>
      <c r="D390" s="2">
        <v>0.14199999999999999</v>
      </c>
      <c r="E390">
        <v>0.13300000000000001</v>
      </c>
      <c r="F390">
        <v>0.14099999999999999</v>
      </c>
      <c r="G390">
        <v>6.7799999999999999E-2</v>
      </c>
      <c r="H390" s="2">
        <f t="shared" si="6"/>
        <v>0.13866666666666699</v>
      </c>
    </row>
    <row r="391" spans="1:8">
      <c r="A391">
        <v>1991</v>
      </c>
      <c r="B391" t="s">
        <v>298</v>
      </c>
      <c r="C391" t="s">
        <v>299</v>
      </c>
      <c r="D391" s="2">
        <v>0.13600000000000001</v>
      </c>
      <c r="E391">
        <v>0.13</v>
      </c>
      <c r="F391">
        <v>0.13700000000000001</v>
      </c>
      <c r="G391">
        <v>6.7799999999999999E-2</v>
      </c>
      <c r="H391" s="2">
        <f t="shared" si="6"/>
        <v>0.134333333333333</v>
      </c>
    </row>
    <row r="392" spans="1:8">
      <c r="A392">
        <v>1991</v>
      </c>
      <c r="B392" t="s">
        <v>298</v>
      </c>
      <c r="C392" t="s">
        <v>301</v>
      </c>
      <c r="D392" s="2">
        <v>0.14199999999999999</v>
      </c>
      <c r="E392">
        <v>0.13800000000000001</v>
      </c>
      <c r="F392">
        <v>0.13800000000000001</v>
      </c>
      <c r="G392">
        <v>6.7799999999999999E-2</v>
      </c>
      <c r="H392" s="2">
        <f t="shared" si="6"/>
        <v>0.139333333333333</v>
      </c>
    </row>
    <row r="393" spans="1:8">
      <c r="A393">
        <v>1991</v>
      </c>
      <c r="B393" t="s">
        <v>298</v>
      </c>
      <c r="C393" t="s">
        <v>299</v>
      </c>
      <c r="D393" s="2">
        <v>0.13750000000000001</v>
      </c>
      <c r="E393">
        <v>0.13750000000000001</v>
      </c>
      <c r="F393">
        <v>0.13750000000000001</v>
      </c>
      <c r="G393">
        <v>6.7799999999999999E-2</v>
      </c>
      <c r="H393" s="2">
        <f t="shared" si="6"/>
        <v>0.13750000000000001</v>
      </c>
    </row>
  </sheetData>
  <sortState xmlns:xlrd2="http://schemas.microsoft.com/office/spreadsheetml/2017/richdata2" ref="A2:H393">
    <sortCondition ref="B2"/>
  </sortState>
  <mergeCells count="2">
    <mergeCell ref="K2:L2"/>
    <mergeCell ref="K3:L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showGridLines="0" tabSelected="1" topLeftCell="C9" zoomScale="73" zoomScaleNormal="73" workbookViewId="0">
      <selection activeCell="AN26" sqref="AN26"/>
    </sheetView>
  </sheetViews>
  <sheetFormatPr defaultColWidth="8.85546875" defaultRowHeight="12.75"/>
  <sheetData/>
  <pageMargins left="0.75" right="0.75" top="1" bottom="1" header="0.5" footer="0.5"/>
  <pageSetup orientation="portrait"/>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CEE888-26A4-4D82-8FA2-3AD4E0A8D8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Task 01. Market share</vt:lpstr>
      <vt:lpstr>Task2.Incumben</vt:lpstr>
      <vt:lpstr>Task 2 Incumbency rate</vt:lpstr>
      <vt:lpstr>Average winning bid prices</vt:lpstr>
      <vt:lpstr>Task3_4 Dispersion&amp;Average Pric</vt:lpstr>
      <vt:lpstr>Task 5. Cost and Price</vt:lpstr>
      <vt:lpstr>Dashboard</vt:lpstr>
    </vt:vector>
  </TitlesOfParts>
  <Company>Terry Sincich, Ph.D.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Sincich</dc:creator>
  <cp:lastModifiedBy>Trung Phan</cp:lastModifiedBy>
  <dcterms:created xsi:type="dcterms:W3CDTF">2003-10-25T14:26:00Z</dcterms:created>
  <dcterms:modified xsi:type="dcterms:W3CDTF">2026-03-14T16:35:54Z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31900606547249BA8A4043F547B8795B_12</vt:lpwstr>
  </property>
</Properties>
</file>